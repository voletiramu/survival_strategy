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ty Trades" sheetId="1" state="visible" r:id="rId1"/>
    <sheet name="Commodity Trad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b val="1"/>
      <color rgb="001F4E79"/>
      <sz val="14"/>
    </font>
    <font>
      <name val="Arial"/>
      <b val="1"/>
      <color rgb="002E75B6"/>
      <sz val="12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4" fontId="2" fillId="3" borderId="1" pivotButton="0" quotePrefix="0" xfId="0"/>
    <xf numFmtId="0" fontId="2" fillId="4" borderId="1" pivotButton="0" quotePrefix="0" xfId="0"/>
    <xf numFmtId="4" fontId="2" fillId="4" borderId="1" pivotButton="0" quotePrefix="0" xfId="0"/>
    <xf numFmtId="4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4" fontId="2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  <col width="8" customWidth="1" min="7" max="7"/>
    <col width="12" customWidth="1" min="8" max="8"/>
    <col width="12" customWidth="1" min="9" max="9"/>
    <col width="12" customWidth="1" min="10" max="10"/>
    <col width="6" customWidth="1" min="11" max="11"/>
    <col width="8" customWidth="1" min="12" max="12"/>
    <col width="12" customWidth="1" min="13" max="13"/>
    <col width="20" customWidth="1" min="14" max="14"/>
    <col width="8" customWidth="1" min="15" max="15"/>
    <col width="8" customWidth="1" min="16" max="16"/>
    <col width="6" customWidth="1" min="17" max="17"/>
    <col width="10" customWidth="1" min="18" max="18"/>
    <col width="5" customWidth="1" min="19" max="19"/>
    <col width="80" customWidth="1" min="20" max="20"/>
  </cols>
  <sheetData>
    <row r="1">
      <c r="A1" s="1" t="inlineStr">
        <is>
          <t>#</t>
        </is>
      </c>
      <c r="B1" s="1" t="inlineStr">
        <is>
          <t>Symbol</t>
        </is>
      </c>
      <c r="C1" s="1" t="inlineStr">
        <is>
          <t>Signal Type</t>
        </is>
      </c>
      <c r="D1" s="1" t="inlineStr">
        <is>
          <t>Strike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Hold (min)</t>
        </is>
      </c>
      <c r="H1" s="1" t="inlineStr">
        <is>
          <t>Entry Premium</t>
        </is>
      </c>
      <c r="I1" s="1" t="inlineStr">
        <is>
          <t>Exit Premium</t>
        </is>
      </c>
      <c r="J1" s="1" t="inlineStr">
        <is>
          <t>Peak Premium</t>
        </is>
      </c>
      <c r="K1" s="1" t="inlineStr">
        <is>
          <t>Lots</t>
        </is>
      </c>
      <c r="L1" s="1" t="inlineStr">
        <is>
          <t>Lot Size</t>
        </is>
      </c>
      <c r="M1" s="1" t="inlineStr">
        <is>
          <t>PnL (Rs)</t>
        </is>
      </c>
      <c r="N1" s="1" t="inlineStr">
        <is>
          <t>Exit Reason</t>
        </is>
      </c>
      <c r="O1" s="1" t="inlineStr">
        <is>
          <t>Quality Score</t>
        </is>
      </c>
      <c r="P1" s="1" t="inlineStr">
        <is>
          <t>Delta</t>
        </is>
      </c>
      <c r="Q1" s="1" t="inlineStr">
        <is>
          <t>IV%</t>
        </is>
      </c>
      <c r="R1" s="1" t="inlineStr">
        <is>
          <t>Entry Spot</t>
        </is>
      </c>
      <c r="S1" s="1" t="inlineStr">
        <is>
          <t>DTE</t>
        </is>
      </c>
      <c r="T1" s="1" t="inlineStr">
        <is>
          <t>Post-Mortem Analysis</t>
        </is>
      </c>
    </row>
    <row r="2">
      <c r="A2" s="2" t="n">
        <v>1</v>
      </c>
      <c r="B2" s="2" t="inlineStr">
        <is>
          <t>NIFTY</t>
        </is>
      </c>
      <c r="C2" s="2" t="inlineStr">
        <is>
          <t>BUY_PE_CPR</t>
        </is>
      </c>
      <c r="D2" s="2" t="n">
        <v>23800</v>
      </c>
      <c r="E2" s="2" t="inlineStr">
        <is>
          <t>12:04:24</t>
        </is>
      </c>
      <c r="F2" s="2" t="inlineStr">
        <is>
          <t>12:09:21</t>
        </is>
      </c>
      <c r="G2" s="2" t="n">
        <v>5</v>
      </c>
      <c r="H2" s="3" t="n">
        <v>274.9</v>
      </c>
      <c r="I2" s="3" t="n">
        <v>276.05</v>
      </c>
      <c r="J2" s="3" t="n">
        <v>276.05</v>
      </c>
      <c r="K2" s="2" t="n">
        <v>3</v>
      </c>
      <c r="L2" s="2" t="n">
        <v>195</v>
      </c>
      <c r="M2" s="3" t="n">
        <v>42.49</v>
      </c>
      <c r="N2" s="2" t="inlineStr">
        <is>
          <t>BREAKOUT_FAIL</t>
        </is>
      </c>
      <c r="O2" s="2" t="n">
        <v>85</v>
      </c>
      <c r="P2" s="2" t="n">
        <v>-0.526</v>
      </c>
      <c r="Q2" s="2" t="n">
        <v>50.2</v>
      </c>
      <c r="R2" s="2" t="n">
        <v>23746</v>
      </c>
      <c r="S2" s="2" t="n">
        <v>1</v>
      </c>
      <c r="T2" s="2" t="inlineStr">
        <is>
          <t>SMALL WIN but exited too early. Spot moved -25pts in our favor but premium barely moved (+0.4%). BREAKOUT_FAIL timer (5min/2% threshold) killed a valid trade. NIFTY later dropped to 23650 — this PE would have hit target. ISSUE: 5min breakout timer too aggressive for options that need time to react.</t>
        </is>
      </c>
    </row>
    <row r="3">
      <c r="A3" s="2" t="n">
        <v>2</v>
      </c>
      <c r="B3" s="2" t="inlineStr">
        <is>
          <t>BANKNIFTY</t>
        </is>
      </c>
      <c r="C3" s="2" t="inlineStr">
        <is>
          <t>BUY_PE_CPR</t>
        </is>
      </c>
      <c r="D3" s="2" t="n">
        <v>55500</v>
      </c>
      <c r="E3" s="2" t="inlineStr">
        <is>
          <t>12:04:25</t>
        </is>
      </c>
      <c r="F3" s="2" t="inlineStr">
        <is>
          <t>12:09:22</t>
        </is>
      </c>
      <c r="G3" s="2" t="n">
        <v>5</v>
      </c>
      <c r="H3" s="3" t="n">
        <v>1190</v>
      </c>
      <c r="I3" s="3" t="n">
        <v>1200</v>
      </c>
      <c r="J3" s="3" t="n">
        <v>1200</v>
      </c>
      <c r="K3" s="2" t="n">
        <v>2</v>
      </c>
      <c r="L3" s="2" t="n">
        <v>60</v>
      </c>
      <c r="M3" s="3" t="n">
        <v>388.9</v>
      </c>
      <c r="N3" s="2" t="inlineStr">
        <is>
          <t>BREAKOUT_FAIL</t>
        </is>
      </c>
      <c r="O3" s="2" t="n">
        <v>83</v>
      </c>
      <c r="P3" s="2" t="n">
        <v>-0.533</v>
      </c>
      <c r="Q3" s="2" t="n">
        <v>90.40000000000001</v>
      </c>
      <c r="R3" s="2" t="n">
        <v>55210</v>
      </c>
      <c r="S3" s="2" t="n">
        <v>1</v>
      </c>
      <c r="T3" s="2" t="inlineStr">
        <is>
          <t>SMALL WIN. Spot dropped -66pts, premium gained only Rs 10 (+0.8%). Exited by BREAKOUT_FAIL timer. High IV=90.4% means premium was already inflated and less responsive to spot moves. ISSUE: Same 5min timer. Also, very high IV entry — premium paid was expensive.</t>
        </is>
      </c>
    </row>
    <row r="4">
      <c r="A4" s="4" t="n">
        <v>3</v>
      </c>
      <c r="B4" s="4" t="inlineStr">
        <is>
          <t>BANKNIFTY</t>
        </is>
      </c>
      <c r="C4" s="4" t="inlineStr">
        <is>
          <t>SELL_PE_CPR</t>
        </is>
      </c>
      <c r="D4" s="4" t="n">
        <v>55000</v>
      </c>
      <c r="E4" s="4" t="inlineStr">
        <is>
          <t>12:04:26</t>
        </is>
      </c>
      <c r="F4" s="4" t="inlineStr">
        <is>
          <t>12:09:22</t>
        </is>
      </c>
      <c r="G4" s="4" t="n">
        <v>5</v>
      </c>
      <c r="H4" s="5" t="n">
        <v>994.95</v>
      </c>
      <c r="I4" s="5" t="n">
        <v>1000.9</v>
      </c>
      <c r="J4" s="5" t="n">
        <v>994.95</v>
      </c>
      <c r="K4" s="4" t="n">
        <v>1</v>
      </c>
      <c r="L4" s="4" t="n">
        <v>30</v>
      </c>
      <c r="M4" s="5" t="n">
        <v>-321.49</v>
      </c>
      <c r="N4" s="4" t="inlineStr">
        <is>
          <t>BREAKOUT_FAIL</t>
        </is>
      </c>
      <c r="O4" s="4" t="n">
        <v>55</v>
      </c>
      <c r="P4" s="4" t="n">
        <v>-0.458</v>
      </c>
      <c r="Q4" s="4" t="n">
        <v>95.7</v>
      </c>
      <c r="R4" s="4" t="n">
        <v>55210</v>
      </c>
      <c r="S4" s="4" t="n">
        <v>1</v>
      </c>
      <c r="T4" s="4" t="inlineStr">
        <is>
          <t>LOSS on SELL trade. Sold PE hoping for mean reversion at S3, but spot kept falling (-66pts). Premium rose against us. Quality score was LOWEST at 55 — should have been filtered. ISSUE: Selling options in HIGH VIX (21.5) + SIDEWAYS regime is dangerous. SELL signals need higher quality threshold (70+). Also contradicted the BUY_PE signal on same symbol.</t>
        </is>
      </c>
    </row>
    <row r="5">
      <c r="A5" s="4" t="n">
        <v>4</v>
      </c>
      <c r="B5" s="4" t="inlineStr">
        <is>
          <t>SENSEX</t>
        </is>
      </c>
      <c r="C5" s="4" t="inlineStr">
        <is>
          <t>BUY_PE_CPR</t>
        </is>
      </c>
      <c r="D5" s="4" t="n">
        <v>76500</v>
      </c>
      <c r="E5" s="4" t="inlineStr">
        <is>
          <t>12:04:27</t>
        </is>
      </c>
      <c r="F5" s="4" t="inlineStr">
        <is>
          <t>12:22:30</t>
        </is>
      </c>
      <c r="G5" s="4" t="n">
        <v>18</v>
      </c>
      <c r="H5" s="5" t="n">
        <v>230.2</v>
      </c>
      <c r="I5" s="5" t="n">
        <v>193.4</v>
      </c>
      <c r="J5" s="5" t="n">
        <v>254.3</v>
      </c>
      <c r="K5" s="4" t="n">
        <v>4</v>
      </c>
      <c r="L5" s="4" t="n">
        <v>80</v>
      </c>
      <c r="M5" s="5" t="n">
        <v>-3065.02</v>
      </c>
      <c r="N5" s="4" t="inlineStr">
        <is>
          <t>TRAILING_SL_HIT</t>
        </is>
      </c>
      <c r="O5" s="4" t="n">
        <v>100</v>
      </c>
      <c r="P5" s="4" t="n">
        <v>-0.528</v>
      </c>
      <c r="Q5" s="4" t="n">
        <v>13.2</v>
      </c>
      <c r="R5" s="4" t="n">
        <v>76447</v>
      </c>
      <c r="S5" s="4" t="n">
        <v>1</v>
      </c>
      <c r="T5" s="4" t="inlineStr">
        <is>
          <t>BIG LOSS. Premium peaked at 254.30 (+10.5%) then collapsed to 193.40. TSL set at 196.79 was hit. Spot went from 76447 down to ~76380 (our favor) but then reversed sharply upward. ISSUE: 0-DTE SENSEX expiry — extreme theta decay. IV=13.2% (very low) means tiny moves kill premium. The TSL locked in a loss because premium decayed even as spot moved our way initially. CRITICAL: Trading 0-DTE with low IV is a theta trap. Bot should avoid 0-DTE entries.</t>
        </is>
      </c>
    </row>
    <row r="6">
      <c r="A6" s="4" t="n">
        <v>5</v>
      </c>
      <c r="B6" s="4" t="inlineStr">
        <is>
          <t>BANKNIFTY</t>
        </is>
      </c>
      <c r="C6" s="4" t="inlineStr">
        <is>
          <t>BUY_PE_CPR</t>
        </is>
      </c>
      <c r="D6" s="4" t="n">
        <v>55500</v>
      </c>
      <c r="E6" s="4" t="inlineStr">
        <is>
          <t>12:19:41</t>
        </is>
      </c>
      <c r="F6" s="4" t="inlineStr">
        <is>
          <t>12:24:26</t>
        </is>
      </c>
      <c r="G6" s="4" t="n">
        <v>5</v>
      </c>
      <c r="H6" s="5" t="n">
        <v>1176.95</v>
      </c>
      <c r="I6" s="5" t="n">
        <v>1147.9</v>
      </c>
      <c r="J6" s="5" t="n">
        <v>1176.95</v>
      </c>
      <c r="K6" s="4" t="n">
        <v>1</v>
      </c>
      <c r="L6" s="4" t="n">
        <v>30</v>
      </c>
      <c r="M6" s="5" t="n">
        <v>-1022.29</v>
      </c>
      <c r="N6" s="4" t="inlineStr">
        <is>
          <t>BREAKOUT_FAIL</t>
        </is>
      </c>
      <c r="O6" s="4" t="n">
        <v>83</v>
      </c>
      <c r="P6" s="4" t="n">
        <v>-0.537</v>
      </c>
      <c r="Q6" s="4" t="n">
        <v>88.40000000000001</v>
      </c>
      <c r="R6" s="4" t="n">
        <v>55193</v>
      </c>
      <c r="S6" s="4" t="n">
        <v>1</v>
      </c>
      <c r="T6" s="4" t="inlineStr">
        <is>
          <t>LOSS on re-entry. This was REENTRY #2 after the first BANKNIFTY PE closed. Entered at 1176.95 but premium immediately dropped to 1147.90 (-2.5%). Spot didn't move enough to offset theta. ISSUE: Re-entering the same trade within 15min without new confirmation. Cooldown was bypassed. The breakout momentum was already exhausted from the first entry.</t>
        </is>
      </c>
    </row>
    <row r="7">
      <c r="A7" s="4" t="n">
        <v>6</v>
      </c>
      <c r="B7" s="4" t="inlineStr">
        <is>
          <t>SENSEX</t>
        </is>
      </c>
      <c r="C7" s="4" t="inlineStr">
        <is>
          <t>BUY_PE_CPR</t>
        </is>
      </c>
      <c r="D7" s="4" t="n">
        <v>76400</v>
      </c>
      <c r="E7" s="4" t="inlineStr">
        <is>
          <t>12:42:35</t>
        </is>
      </c>
      <c r="F7" s="4" t="inlineStr">
        <is>
          <t>12:45:39</t>
        </is>
      </c>
      <c r="G7" s="4" t="n">
        <v>3</v>
      </c>
      <c r="H7" s="5" t="n">
        <v>220.05</v>
      </c>
      <c r="I7" s="5" t="n">
        <v>186.95</v>
      </c>
      <c r="J7" s="5" t="n">
        <v>220.05</v>
      </c>
      <c r="K7" s="4" t="n">
        <v>4</v>
      </c>
      <c r="L7" s="4" t="n">
        <v>80</v>
      </c>
      <c r="M7" s="5" t="n">
        <v>-2768.03</v>
      </c>
      <c r="N7" s="4" t="inlineStr">
        <is>
          <t>BREAKOUT_FAIL_REVERSE</t>
        </is>
      </c>
      <c r="O7" s="4" t="n">
        <v>100</v>
      </c>
      <c r="P7" s="4" t="n">
        <v>-0.523</v>
      </c>
      <c r="Q7" s="4" t="n">
        <v>12.8</v>
      </c>
      <c r="R7" s="4" t="n">
        <v>76355</v>
      </c>
      <c r="S7" s="4" t="n">
        <v>1</v>
      </c>
      <c r="T7" s="4" t="inlineStr">
        <is>
          <t>BIG LOSS. SENSEX 2nd attempt. Entry at 220.05, immediately reversed to 186.95 (-15%). BREAKOUT_FAIL_REVERSE triggered in just 3 minutes. Spot reversed against the bearish thesis. ISSUE: Same 0-DTE problem. IV=12.8% — premium melts instantly on any reversal. Quality=100 was misleading because it didn't penalize 0-DTE expiry or low IV. Bot re-entered SENSEX PE despite previous -3065 loss on same thesis.</t>
        </is>
      </c>
    </row>
    <row r="8">
      <c r="A8" s="4" t="n">
        <v>7</v>
      </c>
      <c r="B8" s="4" t="inlineStr">
        <is>
          <t>SENSEX</t>
        </is>
      </c>
      <c r="C8" s="4" t="inlineStr">
        <is>
          <t>BUY_PE_CPR</t>
        </is>
      </c>
      <c r="D8" s="4" t="n">
        <v>76400</v>
      </c>
      <c r="E8" s="4" t="inlineStr">
        <is>
          <t>13:25:57</t>
        </is>
      </c>
      <c r="F8" s="4" t="inlineStr">
        <is>
          <t>13:29:03</t>
        </is>
      </c>
      <c r="G8" s="4" t="n">
        <v>3</v>
      </c>
      <c r="H8" s="5" t="n">
        <v>167.65</v>
      </c>
      <c r="I8" s="5" t="n">
        <v>134.05</v>
      </c>
      <c r="J8" s="5" t="n">
        <v>167.65</v>
      </c>
      <c r="K8" s="4" t="n">
        <v>4</v>
      </c>
      <c r="L8" s="4" t="n">
        <v>80</v>
      </c>
      <c r="M8" s="5" t="n">
        <v>-2801.17</v>
      </c>
      <c r="N8" s="4" t="inlineStr">
        <is>
          <t>BREAKOUT_FAIL_REVERSE</t>
        </is>
      </c>
      <c r="O8" s="4" t="n">
        <v>100</v>
      </c>
      <c r="P8" s="4" t="n">
        <v>-0.46</v>
      </c>
      <c r="Q8" s="4" t="n">
        <v>11.9</v>
      </c>
      <c r="R8" s="4" t="n">
        <v>76432</v>
      </c>
      <c r="S8" s="4" t="n">
        <v>1</v>
      </c>
      <c r="T8" s="4" t="inlineStr">
        <is>
          <t>BIG LOSS. SENSEX 3rd attempt! Entry at 167.65, crashed to 134.05 (-20%) in 3 minutes. By now SENSEX had lost -5834 on 3 failed PE trades on the SAME thesis. ISSUE: NO per-symbol daily loss limit. Bot kept re-entering SENSEX PE despite repeated failures. IV dropped to 11.9% — each re-entry had worse theta decay. CRITICAL: Need per-symbol max loss cap (e.g., -3000/day) and max re-entries per symbol (2).</t>
        </is>
      </c>
    </row>
    <row r="9">
      <c r="A9" s="4" t="n">
        <v>8</v>
      </c>
      <c r="B9" s="4" t="inlineStr">
        <is>
          <t>NIFTY</t>
        </is>
      </c>
      <c r="C9" s="4" t="inlineStr">
        <is>
          <t>BUY_PE_CPR</t>
        </is>
      </c>
      <c r="D9" s="4" t="n">
        <v>23750</v>
      </c>
      <c r="E9" s="4" t="inlineStr">
        <is>
          <t>12:19:40</t>
        </is>
      </c>
      <c r="F9" s="4" t="inlineStr">
        <is>
          <t>13:29:28</t>
        </is>
      </c>
      <c r="G9" s="4" t="n">
        <v>70</v>
      </c>
      <c r="H9" s="5" t="n">
        <v>247.35</v>
      </c>
      <c r="I9" s="5" t="n">
        <v>225.75</v>
      </c>
      <c r="J9" s="5" t="n">
        <v>273.95</v>
      </c>
      <c r="K9" s="4" t="n">
        <v>3</v>
      </c>
      <c r="L9" s="4" t="n">
        <v>195</v>
      </c>
      <c r="M9" s="5" t="n">
        <v>-4380.04</v>
      </c>
      <c r="N9" s="4" t="inlineStr">
        <is>
          <t>TRAILING_SL_HIT</t>
        </is>
      </c>
      <c r="O9" s="4" t="n">
        <v>90</v>
      </c>
      <c r="P9" s="4" t="n">
        <v>-0.51</v>
      </c>
      <c r="Q9" s="4" t="n">
        <v>47.6</v>
      </c>
      <c r="R9" s="4" t="n">
        <v>23723</v>
      </c>
      <c r="S9" s="4" t="n">
        <v>1</v>
      </c>
      <c r="T9" s="4" t="inlineStr">
        <is>
          <t>BIGGEST LOSS. Held for 70 minutes. Premium peaked at 273.95 (+10.8%) but TSL at 225.86 was hit. Spot was choppy — dropped to favor us, then reversed. The TSL was too tight (trail=30% in SIDEWAYS). Peak unrealized was +Rs 15,561 but ended at -Rs 4,380. ISSUE: TSL trailed 30% of peak which means even a small pullback after gains triggers exit. For a 70min hold, this is far too aggressive. The trade WAS right directionally but got shaken out.</t>
        </is>
      </c>
    </row>
    <row r="10">
      <c r="A10" s="2" t="n">
        <v>9</v>
      </c>
      <c r="B10" s="2" t="inlineStr">
        <is>
          <t>NIFTY</t>
        </is>
      </c>
      <c r="C10" s="2" t="inlineStr">
        <is>
          <t>BUY_PE_CPR</t>
        </is>
      </c>
      <c r="D10" s="2" t="n">
        <v>23850</v>
      </c>
      <c r="E10" s="2" t="inlineStr">
        <is>
          <t>13:49:30</t>
        </is>
      </c>
      <c r="F10" s="2" t="inlineStr">
        <is>
          <t>15:20:07</t>
        </is>
      </c>
      <c r="G10" s="2" t="n">
        <v>91</v>
      </c>
      <c r="H10" s="3" t="n">
        <v>257.45</v>
      </c>
      <c r="I10" s="3" t="n">
        <v>341.05</v>
      </c>
      <c r="J10" s="3" t="n">
        <v>355.9</v>
      </c>
      <c r="K10" s="2" t="n">
        <v>3</v>
      </c>
      <c r="L10" s="2" t="n">
        <v>195</v>
      </c>
      <c r="M10" s="3" t="n">
        <v>16107.68</v>
      </c>
      <c r="N10" s="2" t="inlineStr">
        <is>
          <t>EOD_FORCE_CLOSE</t>
        </is>
      </c>
      <c r="O10" s="2" t="n">
        <v>90</v>
      </c>
      <c r="P10" s="2" t="n">
        <v>-0.538</v>
      </c>
      <c r="Q10" s="2" t="n">
        <v>45.4</v>
      </c>
      <c r="R10" s="2" t="n">
        <v>23784</v>
      </c>
      <c r="S10" s="2" t="n">
        <v>1</v>
      </c>
      <c r="T10" s="2" t="inlineStr">
        <is>
          <t>BIG WINNER! Entry at 257.45, hit target extension, peak at 355.90 (+38.2%). Breakeven locked. TSL at 326.37 held through pullbacks. Exited at EOD at 341.05. This is how the strategy SHOULD work. NIFTY dropped sharply in the afternoon, PE premium exploded. KEY: This was the 3rd NIFTY PE attempt — persistence paid off but only because market finally moved big.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s="6">
        <f>SUM(M2:M10)</f>
        <v/>
      </c>
      <c r="N12" s="7" t="inlineStr">
        <is>
          <t>NET EQUITY PnL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  <col width="8" customWidth="1" min="7" max="7"/>
    <col width="12" customWidth="1" min="8" max="8"/>
    <col width="12" customWidth="1" min="9" max="9"/>
    <col width="12" customWidth="1" min="10" max="10"/>
    <col width="6" customWidth="1" min="11" max="11"/>
    <col width="8" customWidth="1" min="12" max="12"/>
    <col width="12" customWidth="1" min="13" max="13"/>
    <col width="20" customWidth="1" min="14" max="14"/>
    <col width="8" customWidth="1" min="15" max="15"/>
    <col width="6" customWidth="1" min="16" max="16"/>
    <col width="10" customWidth="1" min="17" max="17"/>
    <col width="5" customWidth="1" min="18" max="18"/>
    <col width="80" customWidth="1" min="19" max="19"/>
  </cols>
  <sheetData>
    <row r="1">
      <c r="A1" s="1" t="inlineStr">
        <is>
          <t>#</t>
        </is>
      </c>
      <c r="B1" s="1" t="inlineStr">
        <is>
          <t>Commodity</t>
        </is>
      </c>
      <c r="C1" s="1" t="inlineStr">
        <is>
          <t>Signal Type</t>
        </is>
      </c>
      <c r="D1" s="1" t="inlineStr">
        <is>
          <t>Strike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Hold (min)</t>
        </is>
      </c>
      <c r="H1" s="1" t="inlineStr">
        <is>
          <t>Entry Premium</t>
        </is>
      </c>
      <c r="I1" s="1" t="inlineStr">
        <is>
          <t>Exit Premium</t>
        </is>
      </c>
      <c r="J1" s="1" t="inlineStr">
        <is>
          <t>Peak Premium</t>
        </is>
      </c>
      <c r="K1" s="1" t="inlineStr">
        <is>
          <t>Lots</t>
        </is>
      </c>
      <c r="L1" s="1" t="inlineStr">
        <is>
          <t>Multiplier</t>
        </is>
      </c>
      <c r="M1" s="1" t="inlineStr">
        <is>
          <t>PnL (Rs)</t>
        </is>
      </c>
      <c r="N1" s="1" t="inlineStr">
        <is>
          <t>Exit Reason</t>
        </is>
      </c>
      <c r="O1" s="1" t="inlineStr">
        <is>
          <t>Quality Score</t>
        </is>
      </c>
      <c r="P1" s="1" t="inlineStr">
        <is>
          <t>IV%</t>
        </is>
      </c>
      <c r="Q1" s="1" t="inlineStr">
        <is>
          <t>Entry Spot</t>
        </is>
      </c>
      <c r="R1" s="1" t="inlineStr">
        <is>
          <t>DTE</t>
        </is>
      </c>
      <c r="S1" s="1" t="inlineStr">
        <is>
          <t>Post-Mortem Analysis</t>
        </is>
      </c>
    </row>
    <row r="2">
      <c r="A2" s="4" t="n">
        <v>1</v>
      </c>
      <c r="B2" s="4" t="inlineStr">
        <is>
          <t>GOLDM</t>
        </is>
      </c>
      <c r="C2" s="4" t="inlineStr">
        <is>
          <t>BUY_CE_CPR</t>
        </is>
      </c>
      <c r="D2" s="4" t="n">
        <v>162000</v>
      </c>
      <c r="E2" s="4" t="inlineStr">
        <is>
          <t>13:01:39</t>
        </is>
      </c>
      <c r="F2" s="4" t="inlineStr">
        <is>
          <t>13:06:28</t>
        </is>
      </c>
      <c r="G2" s="4" t="n">
        <v>5</v>
      </c>
      <c r="H2" s="5" t="n">
        <v>3573.5</v>
      </c>
      <c r="I2" s="5" t="n">
        <v>3510.5</v>
      </c>
      <c r="J2" s="5" t="n">
        <v>3573.5</v>
      </c>
      <c r="K2" s="4" t="n">
        <v>2</v>
      </c>
      <c r="L2" s="4" t="n">
        <v>10</v>
      </c>
      <c r="M2" s="5" t="n">
        <v>-1398.26</v>
      </c>
      <c r="N2" s="4" t="inlineStr">
        <is>
          <t>BREAKOUT_FAIL</t>
        </is>
      </c>
      <c r="O2" s="4" t="n">
        <v>85</v>
      </c>
      <c r="P2" s="4" t="n">
        <v>47.9</v>
      </c>
      <c r="Q2" s="4" t="n">
        <v>161915</v>
      </c>
      <c r="R2" s="4" t="n">
        <v>5</v>
      </c>
      <c r="S2" s="4" t="inlineStr">
        <is>
          <t>LOSS. First commodity entry. Premium dropped immediately. Breakout didn't sustain — GOLDM was in SIDEWAYS regime. 5min BREAKOUT_FAIL timer killed it. Gold was choppy around 161900.</t>
        </is>
      </c>
    </row>
    <row r="3">
      <c r="A3" s="2" t="n">
        <v>2</v>
      </c>
      <c r="B3" s="2" t="inlineStr">
        <is>
          <t>SILVERM</t>
        </is>
      </c>
      <c r="C3" s="2" t="inlineStr">
        <is>
          <t>BUY_CE_GAMMA</t>
        </is>
      </c>
      <c r="D3" s="2" t="n">
        <v>280000</v>
      </c>
      <c r="E3" s="2" t="inlineStr">
        <is>
          <t>13:03:22</t>
        </is>
      </c>
      <c r="F3" s="2" t="inlineStr">
        <is>
          <t>13:08:15</t>
        </is>
      </c>
      <c r="G3" s="2" t="n">
        <v>5</v>
      </c>
      <c r="H3" s="3" t="n">
        <v>13530</v>
      </c>
      <c r="I3" s="3" t="n">
        <v>13650.5</v>
      </c>
      <c r="J3" s="3" t="n">
        <v>13700</v>
      </c>
      <c r="K3" s="2" t="n">
        <v>1</v>
      </c>
      <c r="L3" s="2" t="n">
        <v>5</v>
      </c>
      <c r="M3" s="3" t="n">
        <v>465.94</v>
      </c>
      <c r="N3" s="2" t="inlineStr">
        <is>
          <t>BREAKOUT_FAIL</t>
        </is>
      </c>
      <c r="O3" s="2" t="n">
        <v>85</v>
      </c>
      <c r="P3" s="2" t="n">
        <v>108.4</v>
      </c>
      <c r="Q3" s="2" t="n">
        <v>278799</v>
      </c>
      <c r="R3" s="2" t="n">
        <v>5</v>
      </c>
      <c r="S3" s="2" t="inlineStr">
        <is>
          <t>SMALL WIN. Gamma Blast strategy. Premium peaked at 13700 (+1.3%) but BREAKOUT_FAIL exited early. Silver was surging (+6658 body) but the 5min timer exited before the move could develop.</t>
        </is>
      </c>
    </row>
    <row r="4">
      <c r="A4" s="4" t="n">
        <v>3</v>
      </c>
      <c r="B4" s="4" t="inlineStr">
        <is>
          <t>SILVERM</t>
        </is>
      </c>
      <c r="C4" s="4" t="inlineStr">
        <is>
          <t>BUY_CE_CPR</t>
        </is>
      </c>
      <c r="D4" s="4" t="n">
        <v>280000</v>
      </c>
      <c r="E4" s="4" t="inlineStr">
        <is>
          <t>13:05:13</t>
        </is>
      </c>
      <c r="F4" s="4" t="inlineStr">
        <is>
          <t>13:10:08</t>
        </is>
      </c>
      <c r="G4" s="4" t="n">
        <v>5</v>
      </c>
      <c r="H4" s="5" t="n">
        <v>13621</v>
      </c>
      <c r="I4" s="5" t="n">
        <v>13564.5</v>
      </c>
      <c r="J4" s="5" t="n">
        <v>13650.5</v>
      </c>
      <c r="K4" s="4" t="n">
        <v>1</v>
      </c>
      <c r="L4" s="4" t="n">
        <v>5</v>
      </c>
      <c r="M4" s="5" t="n">
        <v>-419.03</v>
      </c>
      <c r="N4" s="4" t="inlineStr">
        <is>
          <t>BREAKOUT_FAIL</t>
        </is>
      </c>
      <c r="O4" s="4" t="n">
        <v>85</v>
      </c>
      <c r="P4" s="4" t="n">
        <v>108.9</v>
      </c>
      <c r="Q4" s="4" t="n">
        <v>278855</v>
      </c>
      <c r="R4" s="4" t="n">
        <v>5</v>
      </c>
      <c r="S4" s="4" t="inlineStr">
        <is>
          <t>LOSS. Duplicate SILVERM CE entry alongside the Gamma Blast trade. Same strike, same thesis. ISSUE: CPR and Gamma Blast taking same trade = double exposure.</t>
        </is>
      </c>
    </row>
    <row r="5">
      <c r="A5" s="4" t="n">
        <v>4</v>
      </c>
      <c r="B5" s="4" t="inlineStr">
        <is>
          <t>SILVERM</t>
        </is>
      </c>
      <c r="C5" s="4" t="inlineStr">
        <is>
          <t>BUY_CE_CPR</t>
        </is>
      </c>
      <c r="D5" s="4" t="n">
        <v>280000</v>
      </c>
      <c r="E5" s="4" t="inlineStr">
        <is>
          <t>13:30:12</t>
        </is>
      </c>
      <c r="F5" s="4" t="inlineStr">
        <is>
          <t>13:35:12</t>
        </is>
      </c>
      <c r="G5" s="4" t="n">
        <v>5</v>
      </c>
      <c r="H5" s="5" t="n">
        <v>13900</v>
      </c>
      <c r="I5" s="5" t="n">
        <v>13910</v>
      </c>
      <c r="J5" s="5" t="n">
        <v>13988</v>
      </c>
      <c r="K5" s="4" t="n">
        <v>1</v>
      </c>
      <c r="L5" s="4" t="n">
        <v>5</v>
      </c>
      <c r="M5" s="5" t="n">
        <v>-87.51000000000001</v>
      </c>
      <c r="N5" s="4" t="inlineStr">
        <is>
          <t>BREAKOUT_FAIL</t>
        </is>
      </c>
      <c r="O5" s="4" t="n">
        <v>85</v>
      </c>
      <c r="P5" s="4" t="n">
        <v>110.1</v>
      </c>
      <c r="Q5" s="4" t="n">
        <v>279098</v>
      </c>
      <c r="R5" s="4" t="n">
        <v>5</v>
      </c>
      <c r="S5" s="4" t="inlineStr">
        <is>
          <t>TINY LOSS. Re-entry on SILVERM CE. Premium barely moved. Brokerage costs ate the small gain.</t>
        </is>
      </c>
    </row>
    <row r="6">
      <c r="A6" s="4" t="n">
        <v>5</v>
      </c>
      <c r="B6" s="4" t="inlineStr">
        <is>
          <t>SILVERM</t>
        </is>
      </c>
      <c r="C6" s="4" t="inlineStr">
        <is>
          <t>BUY_CE_GAMMA</t>
        </is>
      </c>
      <c r="D6" s="4" t="n">
        <v>280000</v>
      </c>
      <c r="E6" s="4" t="inlineStr">
        <is>
          <t>13:30:13</t>
        </is>
      </c>
      <c r="F6" s="4" t="inlineStr">
        <is>
          <t>13:35:12</t>
        </is>
      </c>
      <c r="G6" s="4" t="n">
        <v>5</v>
      </c>
      <c r="H6" s="5" t="n">
        <v>13900</v>
      </c>
      <c r="I6" s="5" t="n">
        <v>13910</v>
      </c>
      <c r="J6" s="5" t="n">
        <v>13988</v>
      </c>
      <c r="K6" s="4" t="n">
        <v>1</v>
      </c>
      <c r="L6" s="4" t="n">
        <v>5</v>
      </c>
      <c r="M6" s="5" t="n">
        <v>-87.51000000000001</v>
      </c>
      <c r="N6" s="4" t="inlineStr">
        <is>
          <t>BREAKOUT_FAIL</t>
        </is>
      </c>
      <c r="O6" s="4" t="n">
        <v>85</v>
      </c>
      <c r="P6" s="4" t="n">
        <v>110.1</v>
      </c>
      <c r="Q6" s="4" t="n">
        <v>279098</v>
      </c>
      <c r="R6" s="4" t="n">
        <v>5</v>
      </c>
      <c r="S6" s="4" t="inlineStr">
        <is>
          <t>DUPLICATE of Trade #4. Same strike, same time, same exit. CPR+Gamma Blast doubling up again.</t>
        </is>
      </c>
    </row>
    <row r="7">
      <c r="A7" s="4" t="n">
        <v>6</v>
      </c>
      <c r="B7" s="4" t="inlineStr">
        <is>
          <t>CRUDEOILM</t>
        </is>
      </c>
      <c r="C7" s="4" t="inlineStr">
        <is>
          <t>SELL_CE_CPR</t>
        </is>
      </c>
      <c r="D7" s="4" t="n">
        <v>7900</v>
      </c>
      <c r="E7" s="4" t="inlineStr">
        <is>
          <t>13:36:09</t>
        </is>
      </c>
      <c r="F7" s="4" t="inlineStr">
        <is>
          <t>13:41:09</t>
        </is>
      </c>
      <c r="G7" s="4" t="n">
        <v>5</v>
      </c>
      <c r="H7" s="5" t="n">
        <v>896.15</v>
      </c>
      <c r="I7" s="5" t="n">
        <v>900</v>
      </c>
      <c r="J7" s="5" t="n">
        <v>896.15</v>
      </c>
      <c r="K7" s="4" t="n">
        <v>5</v>
      </c>
      <c r="L7" s="4" t="n">
        <v>10</v>
      </c>
      <c r="M7" s="5" t="n">
        <v>-314.73</v>
      </c>
      <c r="N7" s="4" t="inlineStr">
        <is>
          <t>BREAKOUT_FAIL</t>
        </is>
      </c>
      <c r="O7" s="4" t="n">
        <v>70</v>
      </c>
      <c r="P7" s="4" t="n">
        <v>272</v>
      </c>
      <c r="Q7" s="4" t="n">
        <v>7714</v>
      </c>
      <c r="R7" s="4" t="n">
        <v>5</v>
      </c>
      <c r="S7" s="4" t="inlineStr">
        <is>
          <t>LOSS. Sold CE for mean reversion at R3. But crude was in a massive uptrend (+354pts from open). IV=272% — extremely volatile. Selling into a strong trend with sky-high IV is very risky. Quality=70 was borderline. ISSUE: Sell signals in strong trends should be blocked.</t>
        </is>
      </c>
    </row>
    <row r="8">
      <c r="A8" s="4" t="n">
        <v>7</v>
      </c>
      <c r="B8" s="4" t="inlineStr">
        <is>
          <t>GOLDM</t>
        </is>
      </c>
      <c r="C8" s="4" t="inlineStr">
        <is>
          <t>BUY_CE_CPR</t>
        </is>
      </c>
      <c r="D8" s="4" t="n">
        <v>162000</v>
      </c>
      <c r="E8" s="4" t="inlineStr">
        <is>
          <t>13:50:49</t>
        </is>
      </c>
      <c r="F8" s="4" t="inlineStr">
        <is>
          <t>13:55:37</t>
        </is>
      </c>
      <c r="G8" s="4" t="n">
        <v>5</v>
      </c>
      <c r="H8" s="5" t="n">
        <v>3610</v>
      </c>
      <c r="I8" s="5" t="n">
        <v>3516</v>
      </c>
      <c r="J8" s="5" t="n">
        <v>3610</v>
      </c>
      <c r="K8" s="4" t="n">
        <v>2</v>
      </c>
      <c r="L8" s="4" t="n">
        <v>10</v>
      </c>
      <c r="M8" s="5" t="n">
        <v>-2018.49</v>
      </c>
      <c r="N8" s="4" t="inlineStr">
        <is>
          <t>BREAKOUT_FAIL</t>
        </is>
      </c>
      <c r="O8" s="4" t="n">
        <v>85</v>
      </c>
      <c r="P8" s="4" t="n">
        <v>48.1</v>
      </c>
      <c r="Q8" s="4" t="n">
        <v>161950</v>
      </c>
      <c r="R8" s="4" t="n">
        <v>5</v>
      </c>
      <c r="S8" s="4" t="inlineStr">
        <is>
          <t>BIGGEST COMMODITY LOSS. Premium dropped -94pts immediately. Gold was not breaking out — it was rangebound around 161900-162000. Narrow CPR (0.158%) gave false breakout signal.</t>
        </is>
      </c>
    </row>
    <row r="9">
      <c r="A9" s="2" t="n">
        <v>8</v>
      </c>
      <c r="B9" s="2" t="inlineStr">
        <is>
          <t>GOLDM</t>
        </is>
      </c>
      <c r="C9" s="2" t="inlineStr">
        <is>
          <t>BUY_CE_CPR</t>
        </is>
      </c>
      <c r="D9" s="2" t="n">
        <v>162000</v>
      </c>
      <c r="E9" s="2" t="inlineStr">
        <is>
          <t>13:55:54</t>
        </is>
      </c>
      <c r="F9" s="2" t="inlineStr">
        <is>
          <t>14:00:44</t>
        </is>
      </c>
      <c r="G9" s="2" t="n">
        <v>5</v>
      </c>
      <c r="H9" s="3" t="n">
        <v>3516</v>
      </c>
      <c r="I9" s="3" t="n">
        <v>3529</v>
      </c>
      <c r="J9" s="3" t="n">
        <v>3549</v>
      </c>
      <c r="K9" s="2" t="n">
        <v>2</v>
      </c>
      <c r="L9" s="2" t="n">
        <v>10</v>
      </c>
      <c r="M9" s="3" t="n">
        <v>121.91</v>
      </c>
      <c r="N9" s="2" t="inlineStr">
        <is>
          <t>BREAKOUT_FAIL</t>
        </is>
      </c>
      <c r="O9" s="2" t="n">
        <v>85</v>
      </c>
      <c r="P9" s="2" t="n">
        <v>47.4</v>
      </c>
      <c r="Q9" s="2" t="n">
        <v>161866</v>
      </c>
      <c r="R9" s="2" t="n">
        <v>5</v>
      </c>
      <c r="S9" s="2" t="inlineStr">
        <is>
          <t>TINY WIN. 3rd GOLDM CE attempt. Barely profitable after costs. Gold still ranging.</t>
        </is>
      </c>
    </row>
    <row r="10">
      <c r="A10" s="4" t="n">
        <v>9</v>
      </c>
      <c r="B10" s="4" t="inlineStr">
        <is>
          <t>SILVERM</t>
        </is>
      </c>
      <c r="C10" s="4" t="inlineStr">
        <is>
          <t>BUY_CE_GAMMA</t>
        </is>
      </c>
      <c r="D10" s="4" t="n">
        <v>280000</v>
      </c>
      <c r="E10" s="4" t="inlineStr">
        <is>
          <t>13:55:56</t>
        </is>
      </c>
      <c r="F10" s="4" t="inlineStr">
        <is>
          <t>14:00:45</t>
        </is>
      </c>
      <c r="G10" s="4" t="n">
        <v>5</v>
      </c>
      <c r="H10" s="5" t="n">
        <v>13694</v>
      </c>
      <c r="I10" s="5" t="n">
        <v>13650</v>
      </c>
      <c r="J10" s="5" t="n">
        <v>13709.5</v>
      </c>
      <c r="K10" s="4" t="n">
        <v>1</v>
      </c>
      <c r="L10" s="4" t="n">
        <v>5</v>
      </c>
      <c r="M10" s="5" t="n">
        <v>-356.77</v>
      </c>
      <c r="N10" s="4" t="inlineStr">
        <is>
          <t>BREAKOUT_FAIL</t>
        </is>
      </c>
      <c r="O10" s="4" t="n">
        <v>85</v>
      </c>
      <c r="P10" s="4" t="n">
        <v>109.8</v>
      </c>
      <c r="Q10" s="4" t="n">
        <v>278768</v>
      </c>
      <c r="R10" s="4" t="n">
        <v>5</v>
      </c>
      <c r="S10" s="4" t="inlineStr">
        <is>
          <t>LOSS. Another SILVERM Gamma Blast. Same 280000 strike for the 4th time. Silver was cooling off from its initial surge. Re-entering exhausted breakouts.</t>
        </is>
      </c>
    </row>
    <row r="11">
      <c r="A11" s="2" t="n">
        <v>10</v>
      </c>
      <c r="B11" s="2" t="inlineStr">
        <is>
          <t>GOLDM</t>
        </is>
      </c>
      <c r="C11" s="2" t="inlineStr">
        <is>
          <t>BUY_CE_CPR</t>
        </is>
      </c>
      <c r="D11" s="2" t="n">
        <v>162000</v>
      </c>
      <c r="E11" s="2" t="inlineStr">
        <is>
          <t>14:23:54</t>
        </is>
      </c>
      <c r="F11" s="2" t="inlineStr">
        <is>
          <t>14:28:44</t>
        </is>
      </c>
      <c r="G11" s="2" t="n">
        <v>5</v>
      </c>
      <c r="H11" s="3" t="n">
        <v>3492</v>
      </c>
      <c r="I11" s="3" t="n">
        <v>3534.5</v>
      </c>
      <c r="J11" s="3" t="n">
        <v>3526.5</v>
      </c>
      <c r="K11" s="2" t="n">
        <v>2</v>
      </c>
      <c r="L11" s="2" t="n">
        <v>10</v>
      </c>
      <c r="M11" s="3" t="n">
        <v>711.99</v>
      </c>
      <c r="N11" s="2" t="inlineStr">
        <is>
          <t>BREAKOUT_FAIL</t>
        </is>
      </c>
      <c r="O11" s="2" t="n">
        <v>85</v>
      </c>
      <c r="P11" s="2" t="n">
        <v>47.3</v>
      </c>
      <c r="Q11" s="2" t="n">
        <v>161844</v>
      </c>
      <c r="R11" s="2" t="n">
        <v>5</v>
      </c>
      <c r="S11" s="2" t="inlineStr">
        <is>
          <t>WIN. 4th GOLDM CE. Finally caught a small move. But still exited by 5min timer.</t>
        </is>
      </c>
    </row>
    <row r="12">
      <c r="A12" s="2" t="n">
        <v>11</v>
      </c>
      <c r="B12" s="2" t="inlineStr">
        <is>
          <t>GOLDM</t>
        </is>
      </c>
      <c r="C12" s="2" t="inlineStr">
        <is>
          <t>BUY_CE_CPR</t>
        </is>
      </c>
      <c r="D12" s="2" t="n">
        <v>162000</v>
      </c>
      <c r="E12" s="2" t="inlineStr">
        <is>
          <t>14:30:46</t>
        </is>
      </c>
      <c r="F12" s="2" t="inlineStr">
        <is>
          <t>14:35:40</t>
        </is>
      </c>
      <c r="G12" s="2" t="n">
        <v>5</v>
      </c>
      <c r="H12" s="3" t="n">
        <v>3540</v>
      </c>
      <c r="I12" s="3" t="n">
        <v>3560.5</v>
      </c>
      <c r="J12" s="3" t="n">
        <v>3586.5</v>
      </c>
      <c r="K12" s="2" t="n">
        <v>2</v>
      </c>
      <c r="L12" s="2" t="n">
        <v>10</v>
      </c>
      <c r="M12" s="3" t="n">
        <v>271.55</v>
      </c>
      <c r="N12" s="2" t="inlineStr">
        <is>
          <t>BREAKOUT_FAIL</t>
        </is>
      </c>
      <c r="O12" s="2" t="n">
        <v>85</v>
      </c>
      <c r="P12" s="2" t="n">
        <v>47.8</v>
      </c>
      <c r="Q12" s="2" t="n">
        <v>161862</v>
      </c>
      <c r="R12" s="2" t="n">
        <v>5</v>
      </c>
      <c r="S12" s="2" t="inlineStr">
        <is>
          <t>SMALL WIN. 5th GOLDM CE. Pattern: keep re-entering same trade, small wins/losses each time. Net effect is churning with brokerage eating profits.</t>
        </is>
      </c>
    </row>
    <row r="13">
      <c r="A13" s="4" t="n">
        <v>12</v>
      </c>
      <c r="B13" s="4" t="inlineStr">
        <is>
          <t>GOLDM</t>
        </is>
      </c>
      <c r="C13" s="4" t="inlineStr">
        <is>
          <t>BUY_CE_CPR</t>
        </is>
      </c>
      <c r="D13" s="4" t="n">
        <v>162000</v>
      </c>
      <c r="E13" s="4" t="inlineStr">
        <is>
          <t>14:35:57</t>
        </is>
      </c>
      <c r="F13" s="4" t="inlineStr">
        <is>
          <t>16:24:11</t>
        </is>
      </c>
      <c r="G13" s="4" t="n">
        <v>109</v>
      </c>
      <c r="H13" s="5" t="n">
        <v>3560.5</v>
      </c>
      <c r="I13" s="5" t="n">
        <v>3562.5</v>
      </c>
      <c r="J13" s="5" t="n">
        <v>3735</v>
      </c>
      <c r="K13" s="4" t="n">
        <v>2</v>
      </c>
      <c r="L13" s="4" t="n">
        <v>10</v>
      </c>
      <c r="M13" s="5" t="n">
        <v>-98.56</v>
      </c>
      <c r="N13" s="4" t="inlineStr">
        <is>
          <t>SIGNAL_WEAK_EXIT</t>
        </is>
      </c>
      <c r="O13" s="4" t="n">
        <v>85</v>
      </c>
      <c r="P13" s="4" t="n">
        <v>47.9</v>
      </c>
      <c r="Q13" s="4" t="n">
        <v>161889</v>
      </c>
      <c r="R13" s="4" t="n">
        <v>5</v>
      </c>
      <c r="S13" s="4" t="inlineStr">
        <is>
          <t>LOSS despite peaking at 3735 (+4.9%). Held 109min but exited at 3562.50 — gave back all gains. SIGNAL_WEAK_EXIT triggered. Gold peaked at ~162200 then fell back. TSL should have locked breakeven at 3735 peak.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s="6">
        <f>SUM(M2:M13)</f>
        <v/>
      </c>
      <c r="N15" s="7" t="inlineStr">
        <is>
          <t>NET COMMODITY PnL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60" customWidth="1" min="3" max="3"/>
  </cols>
  <sheetData>
    <row r="1">
      <c r="A1" s="8" t="inlineStr">
        <is>
          <t>TRADE ANALYSIS — 12 March 2026</t>
        </is>
      </c>
    </row>
    <row r="3">
      <c r="A3" s="9" t="inlineStr">
        <is>
          <t>OVERALL PERFORMANCE</t>
        </is>
      </c>
    </row>
    <row r="4">
      <c r="A4" s="7" t="inlineStr">
        <is>
          <t>Total Equity PnL</t>
        </is>
      </c>
      <c r="B4" s="10">
        <f>'Equity Trades'!M11</f>
        <v/>
      </c>
    </row>
    <row r="5">
      <c r="A5" s="7" t="inlineStr">
        <is>
          <t>Total Commodity PnL</t>
        </is>
      </c>
      <c r="B5" s="10">
        <f>'Commodity Trades'!M14</f>
        <v/>
      </c>
    </row>
    <row r="6">
      <c r="A6" s="7" t="inlineStr">
        <is>
          <t>Combined PnL</t>
        </is>
      </c>
      <c r="B6" s="10">
        <f>'Equity Trades'!M11+'Commodity Trades'!M14</f>
        <v/>
      </c>
    </row>
    <row r="7">
      <c r="A7" s="7" t="inlineStr">
        <is>
          <t>Equity Trades</t>
        </is>
      </c>
      <c r="B7" s="11" t="inlineStr">
        <is>
          <t>9 (3W / 6L)</t>
        </is>
      </c>
    </row>
    <row r="8">
      <c r="A8" s="7" t="inlineStr">
        <is>
          <t>Commodity Trades</t>
        </is>
      </c>
      <c r="B8" s="11" t="inlineStr">
        <is>
          <t>12 (4W / 8L)</t>
        </is>
      </c>
    </row>
    <row r="9">
      <c r="A9" s="7" t="inlineStr">
        <is>
          <t>Equity Win Rate</t>
        </is>
      </c>
      <c r="B9" s="11" t="inlineStr">
        <is>
          <t>33.3%</t>
        </is>
      </c>
    </row>
    <row r="10">
      <c r="A10" s="7" t="inlineStr">
        <is>
          <t>Commodity Win Rate</t>
        </is>
      </c>
      <c r="B10" s="11" t="inlineStr">
        <is>
          <t>33.3%</t>
        </is>
      </c>
    </row>
    <row r="11">
      <c r="A11" s="7" t="inlineStr">
        <is>
          <t>Biggest Winner</t>
        </is>
      </c>
      <c r="B11" s="11" t="inlineStr">
        <is>
          <t>NIFTY 23850PE +Rs 16,108</t>
        </is>
      </c>
    </row>
    <row r="12">
      <c r="A12" s="7" t="inlineStr">
        <is>
          <t>Biggest Loser</t>
        </is>
      </c>
      <c r="B12" s="11" t="inlineStr">
        <is>
          <t>NIFTY 23750PE -Rs 4,380</t>
        </is>
      </c>
    </row>
    <row r="13">
      <c r="A13" s="7" t="inlineStr">
        <is>
          <t>Most Traded (Equity)</t>
        </is>
      </c>
      <c r="B13" s="11" t="inlineStr">
        <is>
          <t>SENSEX (3 trades, -Rs 8,634)</t>
        </is>
      </c>
    </row>
    <row r="14">
      <c r="A14" s="7" t="inlineStr">
        <is>
          <t>Most Traded (Commodity)</t>
        </is>
      </c>
      <c r="B14" s="11" t="inlineStr">
        <is>
          <t>GOLDM (6 trades, -Rs 2,409)</t>
        </is>
      </c>
    </row>
    <row r="17">
      <c r="A17" s="9" t="inlineStr">
        <is>
          <t>KEY ISSUES IDENTIFIED</t>
        </is>
      </c>
    </row>
    <row r="18">
      <c r="A18" s="7" t="inlineStr">
        <is>
          <t>1. BREAKOUT_FAIL Timer Too Aggressive</t>
        </is>
      </c>
      <c r="B18" s="12" t="inlineStr">
        <is>
          <t>14 of 21 trades exited by BREAKOUT_FAIL (5min/2% threshold). Most trades never got a chance to develop. Options need more time than spot to react — a 5min window with 2% threshold is killing valid trades.</t>
        </is>
      </c>
    </row>
    <row r="20">
      <c r="A20" s="7" t="inlineStr">
        <is>
          <t>2. No Per-Symbol Daily Loss Limit</t>
        </is>
      </c>
      <c r="B20" s="12" t="inlineStr">
        <is>
          <t>SENSEX lost Rs 8,634 across 3 trades on the SAME bearish thesis. Bot kept re-entering despite repeated failures. Need a per-symbol daily loss cap (e.g., Rs 3,000) and max 2 re-entries per symbol per day.</t>
        </is>
      </c>
    </row>
    <row r="22">
      <c r="A22" s="7" t="inlineStr">
        <is>
          <t>3. 0-DTE Theta Trap (SENSEX)</t>
        </is>
      </c>
      <c r="B22" s="12" t="inlineStr">
        <is>
          <t>All 3 SENSEX trades were 0-DTE with IV=11-13%. Theta decay was so extreme that even favorable spot moves couldn't save the premium. Bot must avoid 0-DTE entries or significantly reduce position size.</t>
        </is>
      </c>
    </row>
    <row r="24">
      <c r="A24" s="7" t="inlineStr">
        <is>
          <t>4. Duplicate Strategy Exposure (Commodities)</t>
        </is>
      </c>
      <c r="B24" s="12" t="inlineStr">
        <is>
          <t>CPR and Gamma Blast took identical trades (same strike, same time) on SILVERM — doubling risk. Need deduplication: if CPR and Gamma Blast signal the same strike, take only ONE position.</t>
        </is>
      </c>
    </row>
    <row r="26">
      <c r="A26" s="7" t="inlineStr">
        <is>
          <t>5. SELL Signals in Trending Markets</t>
        </is>
      </c>
      <c r="B26" s="12" t="inlineStr">
        <is>
          <t>BANKNIFTY SELL_PE (quality=55) and CRUDEOILM SELL_CE (IV=272%) were mean-reversion bets against strong trends. Sell signals need: higher quality threshold (70+), trend filter, and should be blocked in HIGH VIX regime.</t>
        </is>
      </c>
    </row>
    <row r="28">
      <c r="A28" s="7" t="inlineStr">
        <is>
          <t>6. Trailing SL Too Tight in SIDEWAYS Regime</t>
        </is>
      </c>
      <c r="B28" s="12" t="inlineStr">
        <is>
          <t>NIFTY 23750PE peaked at +Rs 15,561 unrealized but TSL (30% trail) took it out at -Rs 4,380. For SIDEWAYS regime, 30% trail is too tight — consider 40-50% or using time-based trailing.</t>
        </is>
      </c>
    </row>
    <row r="30">
      <c r="A30" s="7" t="inlineStr">
        <is>
          <t>7. Excessive Churning on Same Symbol</t>
        </is>
      </c>
      <c r="B30" s="12" t="inlineStr">
        <is>
          <t>GOLDM had 6 trades on 162000CE, SILVERM had 5 trades on 280000CE. Most were tiny gains/losses eaten by brokerage. Need a cooldown period between same-symbol re-entries (at least 30min for commodities).</t>
        </is>
      </c>
    </row>
    <row r="33">
      <c r="A33" s="9" t="inlineStr">
        <is>
          <t>RECOMMENDED FIXES</t>
        </is>
      </c>
    </row>
    <row r="34">
      <c r="A34" s="7" t="inlineStr">
        <is>
          <t>Fix 1</t>
        </is>
      </c>
      <c r="B34" s="12" t="inlineStr">
        <is>
          <t>Increase BREAKOUT_FAIL timer from 5min to 10-15min, or raise threshold from 2% to 5%</t>
        </is>
      </c>
    </row>
    <row r="35">
      <c r="A35" s="7" t="inlineStr">
        <is>
          <t>Fix 2</t>
        </is>
      </c>
      <c r="B35" s="12" t="inlineStr">
        <is>
          <t>Add per-symbol daily loss limit: Rs 3,000 for equity, Rs 2,000 for commodity</t>
        </is>
      </c>
    </row>
    <row r="36">
      <c r="A36" s="7" t="inlineStr">
        <is>
          <t>Fix 3</t>
        </is>
      </c>
      <c r="B36" s="12" t="inlineStr">
        <is>
          <t>Block 0-DTE entries entirely OR require DTE &gt;= 1 for all entries</t>
        </is>
      </c>
    </row>
    <row r="37">
      <c r="A37" s="7" t="inlineStr">
        <is>
          <t>Fix 4</t>
        </is>
      </c>
      <c r="B37" s="12" t="inlineStr">
        <is>
          <t>Deduplicate CPR + Gamma Blast signals — if same strike, take only one position</t>
        </is>
      </c>
    </row>
    <row r="38">
      <c r="A38" s="7" t="inlineStr">
        <is>
          <t>Fix 5</t>
        </is>
      </c>
      <c r="B38" s="12" t="inlineStr">
        <is>
          <t>Raise SELL signal quality threshold from 50 to 70, block sells in HIGH VIX regime</t>
        </is>
      </c>
    </row>
    <row r="39">
      <c r="A39" s="7" t="inlineStr">
        <is>
          <t>Fix 6</t>
        </is>
      </c>
      <c r="B39" s="12" t="inlineStr">
        <is>
          <t>Widen TSL trail to 40-50% in SIDEWAYS regime, or use time-based trailing after 30min</t>
        </is>
      </c>
    </row>
    <row r="40">
      <c r="A40" s="7" t="inlineStr">
        <is>
          <t>Fix 7</t>
        </is>
      </c>
      <c r="B40" s="12" t="inlineStr">
        <is>
          <t>Add 30min cooldown between same-symbol re-entries for commodities</t>
        </is>
      </c>
    </row>
    <row r="41">
      <c r="A41" s="7" t="inlineStr">
        <is>
          <t>Fix 8</t>
        </is>
      </c>
      <c r="B41" s="12" t="inlineStr">
        <is>
          <t>Cap max entries per symbol per day: 2 for equity, 3 for commodity</t>
        </is>
      </c>
    </row>
  </sheetData>
  <mergeCells count="15">
    <mergeCell ref="B39:C39"/>
    <mergeCell ref="B24:C24"/>
    <mergeCell ref="B30:C30"/>
    <mergeCell ref="B38:C38"/>
    <mergeCell ref="B40:C40"/>
    <mergeCell ref="B20:C20"/>
    <mergeCell ref="B34:C34"/>
    <mergeCell ref="B37:C37"/>
    <mergeCell ref="B28:C28"/>
    <mergeCell ref="B41:C41"/>
    <mergeCell ref="B22:C22"/>
    <mergeCell ref="B36:C36"/>
    <mergeCell ref="B26:C26"/>
    <mergeCell ref="B18:C18"/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2026-03-12T13:50:47Z</dcterms:created>
  <dcterms:modified xsi:type="dcterms:W3CDTF">2026-03-12T13:50:47Z</dcterms:modified>
</cp:coreProperties>
</file>