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 Trades" sheetId="2" state="visible" r:id="rId2"/>
    <sheet name="Commodity Trades" sheetId="3" state="visible" r:id="rId3"/>
    <sheet name="Stock T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1F4E79"/>
      <sz val="11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9C6500"/>
      <sz val="10"/>
    </font>
    <font>
      <name val="Arial"/>
      <b val="1"/>
      <color rgb="00006100"/>
      <sz val="10"/>
    </font>
    <font>
      <name val="Arial"/>
      <b val="1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4" fontId="6" fillId="3" borderId="1" applyAlignment="1" pivotButton="0" quotePrefix="0" xfId="0">
      <alignment horizontal="center"/>
    </xf>
    <xf numFmtId="4" fontId="5" fillId="0" borderId="1" applyAlignment="1" pivotButton="0" quotePrefix="0" xfId="0">
      <alignment horizontal="center"/>
    </xf>
    <xf numFmtId="4" fontId="7" fillId="4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4" fontId="8" fillId="0" borderId="1" applyAlignment="1" pivotButton="0" quotePrefix="0" xfId="0">
      <alignment horizontal="center"/>
    </xf>
    <xf numFmtId="0" fontId="9" fillId="0" borderId="0" pivotButton="0" quotePrefix="0" xfId="0"/>
    <xf numFmtId="0" fontId="5" fillId="0" borderId="0" applyAlignment="1" pivotButton="0" quotePrefix="0" xfId="0">
      <alignment wrapText="1"/>
    </xf>
    <xf numFmtId="0" fontId="10" fillId="0" borderId="0" pivotButton="0" quotePrefix="0" xfId="0"/>
    <xf numFmtId="0" fontId="8" fillId="0" borderId="0" pivotButton="0" quotePrefix="0" xfId="0"/>
    <xf numFmtId="4" fontId="8" fillId="0" borderId="0" pivotButton="0" quotePrefix="0" xfId="0"/>
    <xf numFmtId="0" fontId="7" fillId="4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ALGO TRADING - DAILY TRADE REPORT</t>
        </is>
      </c>
    </row>
    <row r="2">
      <c r="A2" s="2" t="inlineStr">
        <is>
          <t>Date: 11-March-2026 (Tuesday)</t>
        </is>
      </c>
    </row>
    <row r="3">
      <c r="A3" s="3" t="inlineStr">
        <is>
          <t>Version: v10.2e | Branch: feature/angel-data-backtest</t>
        </is>
      </c>
    </row>
    <row r="5">
      <c r="A5" s="4" t="inlineStr">
        <is>
          <t>Bot</t>
        </is>
      </c>
      <c r="B5" s="4" t="inlineStr">
        <is>
          <t>Total Trades</t>
        </is>
      </c>
      <c r="C5" s="4" t="inlineStr">
        <is>
          <t>Wins</t>
        </is>
      </c>
      <c r="D5" s="4" t="inlineStr">
        <is>
          <t>Losses</t>
        </is>
      </c>
      <c r="E5" s="4" t="inlineStr">
        <is>
          <t>Win Rate</t>
        </is>
      </c>
      <c r="F5" s="4" t="inlineStr">
        <is>
          <t>Net PnL</t>
        </is>
      </c>
      <c r="G5" s="4" t="inlineStr">
        <is>
          <t>Best Trade</t>
        </is>
      </c>
      <c r="H5" s="4" t="inlineStr">
        <is>
          <t>Worst Trade</t>
        </is>
      </c>
    </row>
    <row r="6">
      <c r="A6" s="5" t="inlineStr">
        <is>
          <t>Equity</t>
        </is>
      </c>
      <c r="B6" s="5" t="n">
        <v>15</v>
      </c>
      <c r="C6" s="5" t="n">
        <v>10</v>
      </c>
      <c r="D6" s="5" t="n">
        <v>5</v>
      </c>
      <c r="E6" s="6" t="n">
        <v>0.667</v>
      </c>
      <c r="F6" s="7" t="n">
        <v>114107.22</v>
      </c>
      <c r="G6" s="8" t="n">
        <v>23009.99</v>
      </c>
      <c r="H6" s="8" t="n">
        <v>-570.01</v>
      </c>
    </row>
    <row r="7">
      <c r="A7" s="5" t="inlineStr">
        <is>
          <t>Commodity</t>
        </is>
      </c>
      <c r="B7" s="5" t="n">
        <v>7</v>
      </c>
      <c r="C7" s="5" t="n">
        <v>1</v>
      </c>
      <c r="D7" s="5" t="n">
        <v>6</v>
      </c>
      <c r="E7" s="6" t="n">
        <v>0.143</v>
      </c>
      <c r="F7" s="9" t="n">
        <v>-11890.13</v>
      </c>
      <c r="G7" s="8" t="n">
        <v>155.49</v>
      </c>
      <c r="H7" s="8" t="n">
        <v>-7141.98</v>
      </c>
    </row>
    <row r="8">
      <c r="A8" s="5" t="inlineStr">
        <is>
          <t>Stock</t>
        </is>
      </c>
      <c r="B8" s="5" t="n">
        <v>10</v>
      </c>
      <c r="C8" s="5" t="n">
        <v>3</v>
      </c>
      <c r="D8" s="5" t="n">
        <v>7</v>
      </c>
      <c r="E8" s="6" t="n">
        <v>0.3</v>
      </c>
      <c r="F8" s="7" t="n">
        <v>7413.68</v>
      </c>
      <c r="G8" s="8" t="n">
        <v>20300.5</v>
      </c>
      <c r="H8" s="8" t="n">
        <v>-3728.42</v>
      </c>
    </row>
    <row r="9">
      <c r="A9" s="10" t="inlineStr">
        <is>
          <t>TOTAL</t>
        </is>
      </c>
      <c r="B9" s="10">
        <f>SUM(B6:B8)</f>
        <v/>
      </c>
      <c r="C9" s="10">
        <f>SUM(C6:C8)</f>
        <v/>
      </c>
      <c r="D9" s="10">
        <f>SUM(D6:D8)</f>
        <v/>
      </c>
      <c r="E9" s="11">
        <f>C9/B9</f>
        <v/>
      </c>
      <c r="F9" s="12">
        <f>SUM(F6:F8)</f>
        <v/>
      </c>
      <c r="G9" s="10">
        <f>MAX(G6:G8)</f>
        <v/>
      </c>
      <c r="H9" s="10">
        <f>MIN(H6:H8)</f>
        <v/>
      </c>
    </row>
    <row r="11">
      <c r="A11" s="2" t="inlineStr">
        <is>
          <t>KEY ISSUES IDENTIFIED</t>
        </is>
      </c>
    </row>
    <row r="12">
      <c r="A12" s="13" t="inlineStr">
        <is>
          <t>CRITICAL</t>
        </is>
      </c>
      <c r="B12" s="14" t="inlineStr">
        <is>
          <t>Stock bot uses Black-Scholes pricing (not real market data) - entry_oi=0, iv=25% hardcoded for ALL stock trades</t>
        </is>
      </c>
    </row>
    <row r="13">
      <c r="A13" s="13" t="inlineStr">
        <is>
          <t>CRITICAL</t>
        </is>
      </c>
      <c r="B13" s="14" t="inlineStr">
        <is>
          <t>SUNPHARMA 26-March expiry NOT found in instruments master -&gt; fallback to BS model with phantom premiums</t>
        </is>
      </c>
    </row>
    <row r="14">
      <c r="A14" s="13" t="inlineStr">
        <is>
          <t>HIGH</t>
        </is>
      </c>
      <c r="B14" s="14" t="inlineStr">
        <is>
          <t>SUNPHARMA re-entered BUY_CE 7 times (same direction) - no direction-aware cooldown after repeated failures</t>
        </is>
      </c>
    </row>
    <row r="15">
      <c r="A15" s="13" t="inlineStr">
        <is>
          <t>HIGH</t>
        </is>
      </c>
      <c r="B15" s="14" t="inlineStr">
        <is>
          <t>GOLDM re-entered BUY_CE 5 times while gold was falling - CPR signal kept triggering bullish</t>
        </is>
      </c>
    </row>
    <row r="16">
      <c r="A16" s="13" t="inlineStr">
        <is>
          <t>MEDIUM</t>
        </is>
      </c>
      <c r="B16" s="14" t="inlineStr">
        <is>
          <t>Stock bot has NO signal logging file (unlike equity bot) - cannot audit signal history</t>
        </is>
      </c>
    </row>
    <row r="17">
      <c r="A17" s="15" t="inlineStr">
        <is>
          <t>POSITIVE</t>
        </is>
      </c>
      <c r="B17" s="14" t="inlineStr">
        <is>
          <t>Equity bot: high win rate on TRAILING_SL exits - TSL mechanism working well on bearish market</t>
        </is>
      </c>
    </row>
  </sheetData>
  <mergeCells count="9">
    <mergeCell ref="B14:H14"/>
    <mergeCell ref="B17:H17"/>
    <mergeCell ref="B13:H13"/>
    <mergeCell ref="A2:H2"/>
    <mergeCell ref="B12:H12"/>
    <mergeCell ref="B16:H16"/>
    <mergeCell ref="A11:H11"/>
    <mergeCell ref="B15:H1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4" customWidth="1" min="3" max="3"/>
    <col width="16" customWidth="1" min="4" max="4"/>
    <col width="8" customWidth="1" min="5" max="5"/>
    <col width="12" customWidth="1" min="6" max="6"/>
    <col width="10" customWidth="1" min="7" max="7"/>
    <col width="10" customWidth="1" min="8" max="8"/>
    <col width="9" customWidth="1" min="9" max="9"/>
    <col width="11" customWidth="1" min="10" max="10"/>
    <col width="11" customWidth="1" min="11" max="11"/>
    <col width="11" customWidth="1" min="12" max="12"/>
    <col width="9" customWidth="1" min="13" max="13"/>
    <col width="9" customWidth="1" min="14" max="14"/>
    <col width="11" customWidth="1" min="15" max="15"/>
    <col width="9" customWidth="1" min="16" max="16"/>
    <col width="9" customWidth="1" min="17" max="17"/>
    <col width="22" customWidth="1" min="18" max="18"/>
    <col width="13" customWidth="1" min="19" max="19"/>
  </cols>
  <sheetData>
    <row r="1">
      <c r="A1" s="4" t="inlineStr">
        <is>
          <t>#</t>
        </is>
      </c>
      <c r="B1" s="4" t="inlineStr">
        <is>
          <t>Symbol</t>
        </is>
      </c>
      <c r="C1" s="4" t="inlineStr">
        <is>
          <t>Strategy</t>
        </is>
      </c>
      <c r="D1" s="4" t="inlineStr">
        <is>
          <t>Signal</t>
        </is>
      </c>
      <c r="E1" s="4" t="inlineStr">
        <is>
          <t>Strike</t>
        </is>
      </c>
      <c r="F1" s="4" t="inlineStr">
        <is>
          <t>Expiry</t>
        </is>
      </c>
      <c r="G1" s="4" t="inlineStr">
        <is>
          <t>Entry Time</t>
        </is>
      </c>
      <c r="H1" s="4" t="inlineStr">
        <is>
          <t>Exit Time</t>
        </is>
      </c>
      <c r="I1" s="4" t="inlineStr">
        <is>
          <t>Hold (min)</t>
        </is>
      </c>
      <c r="J1" s="4" t="inlineStr">
        <is>
          <t>Entry Prem</t>
        </is>
      </c>
      <c r="K1" s="4" t="inlineStr">
        <is>
          <t>Exit Prem</t>
        </is>
      </c>
      <c r="L1" s="4" t="inlineStr">
        <is>
          <t>Peak Prem</t>
        </is>
      </c>
      <c r="M1" s="4" t="inlineStr">
        <is>
          <t>Num Lots</t>
        </is>
      </c>
      <c r="N1" s="4" t="inlineStr">
        <is>
          <t>Lot Size</t>
        </is>
      </c>
      <c r="O1" s="4" t="inlineStr">
        <is>
          <t>Entry Spot</t>
        </is>
      </c>
      <c r="P1" s="4" t="inlineStr">
        <is>
          <t>Entry IV</t>
        </is>
      </c>
      <c r="Q1" s="4" t="inlineStr">
        <is>
          <t>Entry OI</t>
        </is>
      </c>
      <c r="R1" s="4" t="inlineStr">
        <is>
          <t>Exit Reason</t>
        </is>
      </c>
      <c r="S1" s="4" t="inlineStr">
        <is>
          <t>Net PnL</t>
        </is>
      </c>
    </row>
    <row r="2">
      <c r="A2" s="5" t="n">
        <v>1</v>
      </c>
      <c r="B2" s="5" t="inlineStr">
        <is>
          <t>NIFTY</t>
        </is>
      </c>
      <c r="C2" s="5" t="inlineStr">
        <is>
          <t>CPR</t>
        </is>
      </c>
      <c r="D2" s="5" t="inlineStr">
        <is>
          <t>BUY_PE_CPR</t>
        </is>
      </c>
      <c r="E2" s="5" t="n">
        <v>24200</v>
      </c>
      <c r="F2" s="5" t="inlineStr">
        <is>
          <t>17MAR2026</t>
        </is>
      </c>
      <c r="G2" s="5" t="inlineStr">
        <is>
          <t>09:37:10</t>
        </is>
      </c>
      <c r="H2" s="5" t="inlineStr">
        <is>
          <t>09:42:03</t>
        </is>
      </c>
      <c r="I2" s="5" t="n">
        <v>5</v>
      </c>
      <c r="J2" s="5" t="n">
        <v>244.35</v>
      </c>
      <c r="K2" s="5" t="n">
        <v>248</v>
      </c>
      <c r="L2" s="5" t="n">
        <v>248</v>
      </c>
      <c r="M2" s="5" t="n">
        <v>1</v>
      </c>
      <c r="N2" s="5" t="n">
        <v>65</v>
      </c>
      <c r="O2" s="5" t="n">
        <v>24190.2</v>
      </c>
      <c r="P2" s="5" t="n">
        <v>34.1</v>
      </c>
      <c r="Q2" s="5" t="n">
        <v>69313</v>
      </c>
      <c r="R2" s="5" t="inlineStr">
        <is>
          <t>BREAKOUT_FAIL</t>
        </is>
      </c>
      <c r="S2" s="7" t="n">
        <v>116.78</v>
      </c>
    </row>
    <row r="3">
      <c r="A3" s="5" t="n">
        <v>2</v>
      </c>
      <c r="B3" s="5" t="inlineStr">
        <is>
          <t>NIFTY</t>
        </is>
      </c>
      <c r="C3" s="5" t="inlineStr">
        <is>
          <t>Gamma Blast</t>
        </is>
      </c>
      <c r="D3" s="5" t="inlineStr">
        <is>
          <t>BUY_PE_GAMMA</t>
        </is>
      </c>
      <c r="E3" s="5" t="n">
        <v>24200</v>
      </c>
      <c r="F3" s="5" t="inlineStr">
        <is>
          <t>17MAR2026</t>
        </is>
      </c>
      <c r="G3" s="5" t="inlineStr">
        <is>
          <t>09:38:01</t>
        </is>
      </c>
      <c r="H3" s="5" t="inlineStr">
        <is>
          <t>09:42:56</t>
        </is>
      </c>
      <c r="I3" s="5" t="n">
        <v>5</v>
      </c>
      <c r="J3" s="5" t="n">
        <v>244.35</v>
      </c>
      <c r="K3" s="5" t="n">
        <v>248</v>
      </c>
      <c r="L3" s="5" t="n">
        <v>248</v>
      </c>
      <c r="M3" s="5" t="n">
        <v>1</v>
      </c>
      <c r="N3" s="5" t="n">
        <v>65</v>
      </c>
      <c r="O3" s="5" t="n">
        <v>24182.85</v>
      </c>
      <c r="P3" s="5" t="n">
        <v>33.6</v>
      </c>
      <c r="Q3" s="5" t="n">
        <v>69313</v>
      </c>
      <c r="R3" s="5" t="inlineStr">
        <is>
          <t>BREAKOUT_FAIL</t>
        </is>
      </c>
      <c r="S3" s="7" t="n">
        <v>116.78</v>
      </c>
    </row>
    <row r="4">
      <c r="A4" s="5" t="n">
        <v>3</v>
      </c>
      <c r="B4" s="5" t="inlineStr">
        <is>
          <t>BANKNIFTY</t>
        </is>
      </c>
      <c r="C4" s="5" t="inlineStr">
        <is>
          <t>CPR</t>
        </is>
      </c>
      <c r="D4" s="5" t="inlineStr">
        <is>
          <t>BUY_PE_CPR</t>
        </is>
      </c>
      <c r="E4" s="5" t="n">
        <v>56400</v>
      </c>
      <c r="F4" s="5" t="inlineStr">
        <is>
          <t>30MAR2026</t>
        </is>
      </c>
      <c r="G4" s="5" t="inlineStr">
        <is>
          <t>10:40:15</t>
        </is>
      </c>
      <c r="H4" s="5" t="inlineStr">
        <is>
          <t>10:45:11</t>
        </is>
      </c>
      <c r="I4" s="5" t="n">
        <v>5</v>
      </c>
      <c r="J4" s="5" t="n">
        <v>996.75</v>
      </c>
      <c r="K4" s="5" t="n">
        <v>982.5</v>
      </c>
      <c r="L4" s="5" t="n">
        <v>996.75</v>
      </c>
      <c r="M4" s="5" t="n">
        <v>1</v>
      </c>
      <c r="N4" s="5" t="n">
        <v>30</v>
      </c>
      <c r="O4" s="5" t="n">
        <v>56384.6</v>
      </c>
      <c r="P4" s="5" t="n">
        <v>60</v>
      </c>
      <c r="Q4" s="5" t="n">
        <v>1611</v>
      </c>
      <c r="R4" s="5" t="inlineStr">
        <is>
          <t>BREAKOUT_FAIL</t>
        </is>
      </c>
      <c r="S4" s="9" t="n">
        <v>-570.01</v>
      </c>
    </row>
    <row r="5">
      <c r="A5" s="5" t="n">
        <v>4</v>
      </c>
      <c r="B5" s="5" t="inlineStr">
        <is>
          <t>SENSEX</t>
        </is>
      </c>
      <c r="C5" s="5" t="inlineStr">
        <is>
          <t>CPR</t>
        </is>
      </c>
      <c r="D5" s="5" t="inlineStr">
        <is>
          <t>BUY_PE_CPR</t>
        </is>
      </c>
      <c r="E5" s="5" t="n">
        <v>78100</v>
      </c>
      <c r="F5" s="5" t="inlineStr">
        <is>
          <t>12MAR2026</t>
        </is>
      </c>
      <c r="G5" s="5" t="inlineStr">
        <is>
          <t>09:30:01</t>
        </is>
      </c>
      <c r="H5" s="5" t="inlineStr">
        <is>
          <t>11:05:34</t>
        </is>
      </c>
      <c r="I5" s="5" t="n">
        <v>96</v>
      </c>
      <c r="J5" s="5" t="n">
        <v>411.8</v>
      </c>
      <c r="K5" s="5" t="n">
        <v>701.6</v>
      </c>
      <c r="L5" s="5" t="n">
        <v>778.35</v>
      </c>
      <c r="M5" s="5" t="n">
        <v>4</v>
      </c>
      <c r="N5" s="5" t="n">
        <v>80</v>
      </c>
      <c r="O5" s="5" t="n">
        <v>78083.67</v>
      </c>
      <c r="P5" s="5" t="n">
        <v>18.1</v>
      </c>
      <c r="Q5" s="5" t="n">
        <v>36059</v>
      </c>
      <c r="R5" s="5" t="inlineStr">
        <is>
          <t>TRAILING_SL_HIT</t>
        </is>
      </c>
      <c r="S5" s="7" t="n">
        <v>23009.99</v>
      </c>
    </row>
    <row r="6">
      <c r="A6" s="5" t="n">
        <v>5</v>
      </c>
      <c r="B6" s="5" t="inlineStr">
        <is>
          <t>SENSEX</t>
        </is>
      </c>
      <c r="C6" s="5" t="inlineStr">
        <is>
          <t>PCR+VWAP</t>
        </is>
      </c>
      <c r="D6" s="5" t="inlineStr">
        <is>
          <t>BUY_PE</t>
        </is>
      </c>
      <c r="E6" s="5" t="n">
        <v>78100</v>
      </c>
      <c r="F6" s="5" t="inlineStr">
        <is>
          <t>12MAR2026</t>
        </is>
      </c>
      <c r="G6" s="5" t="inlineStr">
        <is>
          <t>09:30:02</t>
        </is>
      </c>
      <c r="H6" s="5" t="inlineStr">
        <is>
          <t>11:05:35</t>
        </is>
      </c>
      <c r="I6" s="5" t="n">
        <v>96</v>
      </c>
      <c r="J6" s="5" t="n">
        <v>411.8</v>
      </c>
      <c r="K6" s="5" t="n">
        <v>701.6</v>
      </c>
      <c r="L6" s="5" t="n">
        <v>778.35</v>
      </c>
      <c r="M6" s="5" t="n">
        <v>4</v>
      </c>
      <c r="N6" s="5" t="n">
        <v>80</v>
      </c>
      <c r="O6" s="5" t="n">
        <v>78083.67</v>
      </c>
      <c r="P6" s="5" t="n">
        <v>18.1</v>
      </c>
      <c r="Q6" s="5" t="n">
        <v>36059</v>
      </c>
      <c r="R6" s="5" t="inlineStr">
        <is>
          <t>TRAILING_SL_HIT</t>
        </is>
      </c>
      <c r="S6" s="7" t="n">
        <v>23009.99</v>
      </c>
    </row>
    <row r="7">
      <c r="A7" s="5" t="n">
        <v>6</v>
      </c>
      <c r="B7" s="5" t="inlineStr">
        <is>
          <t>NIFTY</t>
        </is>
      </c>
      <c r="C7" s="5" t="inlineStr">
        <is>
          <t>PCR+VWAP</t>
        </is>
      </c>
      <c r="D7" s="5" t="inlineStr">
        <is>
          <t>BUY_PE</t>
        </is>
      </c>
      <c r="E7" s="5" t="n">
        <v>24250</v>
      </c>
      <c r="F7" s="5" t="inlineStr">
        <is>
          <t>17MAR2026</t>
        </is>
      </c>
      <c r="G7" s="5" t="inlineStr">
        <is>
          <t>09:32:27</t>
        </is>
      </c>
      <c r="H7" s="5" t="inlineStr">
        <is>
          <t>11:05:36</t>
        </is>
      </c>
      <c r="I7" s="5" t="n">
        <v>93</v>
      </c>
      <c r="J7" s="5" t="n">
        <v>244.8</v>
      </c>
      <c r="K7" s="5" t="n">
        <v>331.3</v>
      </c>
      <c r="L7" s="5" t="n">
        <v>359.25</v>
      </c>
      <c r="M7" s="5" t="n">
        <v>1</v>
      </c>
      <c r="N7" s="5" t="n">
        <v>65</v>
      </c>
      <c r="O7" s="5" t="n">
        <v>24218.3</v>
      </c>
      <c r="P7" s="5" t="n">
        <v>32.6</v>
      </c>
      <c r="Q7" s="5" t="n">
        <v>36612</v>
      </c>
      <c r="R7" s="5" t="inlineStr">
        <is>
          <t>TRAILING_SL_HIT</t>
        </is>
      </c>
      <c r="S7" s="7" t="n">
        <v>5495.91</v>
      </c>
    </row>
    <row r="8">
      <c r="A8" s="5" t="n">
        <v>7</v>
      </c>
      <c r="B8" s="5" t="inlineStr">
        <is>
          <t>SENSEX</t>
        </is>
      </c>
      <c r="C8" s="5" t="inlineStr">
        <is>
          <t>Gamma Blast</t>
        </is>
      </c>
      <c r="D8" s="5" t="inlineStr">
        <is>
          <t>BUY_PE_GAMMA</t>
        </is>
      </c>
      <c r="E8" s="5" t="n">
        <v>78100</v>
      </c>
      <c r="F8" s="5" t="inlineStr">
        <is>
          <t>12MAR2026</t>
        </is>
      </c>
      <c r="G8" s="5" t="inlineStr">
        <is>
          <t>09:33:03</t>
        </is>
      </c>
      <c r="H8" s="5" t="inlineStr">
        <is>
          <t>11:05:36</t>
        </is>
      </c>
      <c r="I8" s="5" t="n">
        <v>93</v>
      </c>
      <c r="J8" s="5" t="n">
        <v>411.8</v>
      </c>
      <c r="K8" s="5" t="n">
        <v>701.6</v>
      </c>
      <c r="L8" s="5" t="n">
        <v>778.35</v>
      </c>
      <c r="M8" s="5" t="n">
        <v>3</v>
      </c>
      <c r="N8" s="5" t="n">
        <v>60</v>
      </c>
      <c r="O8" s="5" t="n">
        <v>77986.07000000001</v>
      </c>
      <c r="P8" s="5" t="n">
        <v>15.9</v>
      </c>
      <c r="Q8" s="5" t="n">
        <v>36059</v>
      </c>
      <c r="R8" s="5" t="inlineStr">
        <is>
          <t>TRAILING_SL_HIT</t>
        </is>
      </c>
      <c r="S8" s="7" t="n">
        <v>17233.89</v>
      </c>
    </row>
    <row r="9">
      <c r="A9" s="5" t="n">
        <v>8</v>
      </c>
      <c r="B9" s="5" t="inlineStr">
        <is>
          <t>NIFTY</t>
        </is>
      </c>
      <c r="C9" s="5" t="inlineStr">
        <is>
          <t>CPR</t>
        </is>
      </c>
      <c r="D9" s="5" t="inlineStr">
        <is>
          <t>BUY_PE_CPR</t>
        </is>
      </c>
      <c r="E9" s="5" t="n">
        <v>24200</v>
      </c>
      <c r="F9" s="5" t="inlineStr">
        <is>
          <t>17MAR2026</t>
        </is>
      </c>
      <c r="G9" s="5" t="inlineStr">
        <is>
          <t>09:53:03</t>
        </is>
      </c>
      <c r="H9" s="5" t="inlineStr">
        <is>
          <t>11:05:37</t>
        </is>
      </c>
      <c r="I9" s="5" t="n">
        <v>73</v>
      </c>
      <c r="J9" s="5" t="n">
        <v>248.15</v>
      </c>
      <c r="K9" s="5" t="n">
        <v>306.75</v>
      </c>
      <c r="L9" s="5" t="n">
        <v>332.95</v>
      </c>
      <c r="M9" s="5" t="n">
        <v>1</v>
      </c>
      <c r="N9" s="5" t="n">
        <v>65</v>
      </c>
      <c r="O9" s="5" t="n">
        <v>24190.9</v>
      </c>
      <c r="P9" s="5" t="n">
        <v>34.7</v>
      </c>
      <c r="Q9" s="5" t="n">
        <v>74097</v>
      </c>
      <c r="R9" s="5" t="inlineStr">
        <is>
          <t>TRAILING_SL_HIT</t>
        </is>
      </c>
      <c r="S9" s="7" t="n">
        <v>3684.11</v>
      </c>
    </row>
    <row r="10">
      <c r="A10" s="5" t="n">
        <v>9</v>
      </c>
      <c r="B10" s="5" t="inlineStr">
        <is>
          <t>NIFTY</t>
        </is>
      </c>
      <c r="C10" s="5" t="inlineStr">
        <is>
          <t>Gamma Blast</t>
        </is>
      </c>
      <c r="D10" s="5" t="inlineStr">
        <is>
          <t>BUY_PE_GAMMA</t>
        </is>
      </c>
      <c r="E10" s="5" t="n">
        <v>24200</v>
      </c>
      <c r="F10" s="5" t="inlineStr">
        <is>
          <t>17MAR2026</t>
        </is>
      </c>
      <c r="G10" s="5" t="inlineStr">
        <is>
          <t>09:53:22</t>
        </is>
      </c>
      <c r="H10" s="5" t="inlineStr">
        <is>
          <t>11:05:38</t>
        </is>
      </c>
      <c r="I10" s="5" t="n">
        <v>72</v>
      </c>
      <c r="J10" s="5" t="n">
        <v>248.15</v>
      </c>
      <c r="K10" s="5" t="n">
        <v>306.75</v>
      </c>
      <c r="L10" s="5" t="n">
        <v>332.95</v>
      </c>
      <c r="M10" s="5" t="n">
        <v>1</v>
      </c>
      <c r="N10" s="5" t="n">
        <v>65</v>
      </c>
      <c r="O10" s="5" t="n">
        <v>24186.55</v>
      </c>
      <c r="P10" s="5" t="n">
        <v>34.4</v>
      </c>
      <c r="Q10" s="5" t="n">
        <v>74097</v>
      </c>
      <c r="R10" s="5" t="inlineStr">
        <is>
          <t>TRAILING_SL_HIT</t>
        </is>
      </c>
      <c r="S10" s="7" t="n">
        <v>3684.11</v>
      </c>
    </row>
    <row r="11">
      <c r="A11" s="5" t="n">
        <v>10</v>
      </c>
      <c r="B11" s="5" t="inlineStr">
        <is>
          <t>SENSEX</t>
        </is>
      </c>
      <c r="C11" s="5" t="inlineStr">
        <is>
          <t>CPR</t>
        </is>
      </c>
      <c r="D11" s="5" t="inlineStr">
        <is>
          <t>BUY_PE_CPR</t>
        </is>
      </c>
      <c r="E11" s="5" t="n">
        <v>77500</v>
      </c>
      <c r="F11" s="5" t="inlineStr">
        <is>
          <t>12MAR2026</t>
        </is>
      </c>
      <c r="G11" s="5" t="inlineStr">
        <is>
          <t>11:15:46</t>
        </is>
      </c>
      <c r="H11" s="5" t="inlineStr">
        <is>
          <t>11:20:39</t>
        </is>
      </c>
      <c r="I11" s="5" t="n">
        <v>5</v>
      </c>
      <c r="J11" s="5" t="n">
        <v>416.1</v>
      </c>
      <c r="K11" s="5" t="n">
        <v>416.1</v>
      </c>
      <c r="L11" s="5" t="n">
        <v>416.1</v>
      </c>
      <c r="M11" s="5" t="n">
        <v>4</v>
      </c>
      <c r="N11" s="5" t="n">
        <v>80</v>
      </c>
      <c r="O11" s="5" t="n">
        <v>77503.03999999999</v>
      </c>
      <c r="P11" s="5" t="n">
        <v>18.8</v>
      </c>
      <c r="Q11" s="5" t="n">
        <v>61403</v>
      </c>
      <c r="R11" s="5" t="inlineStr">
        <is>
          <t>BREAKOUT_FAIL</t>
        </is>
      </c>
      <c r="S11" s="9" t="n">
        <v>-148.49</v>
      </c>
    </row>
    <row r="12">
      <c r="A12" s="5" t="n">
        <v>11</v>
      </c>
      <c r="B12" s="5" t="inlineStr">
        <is>
          <t>SENSEX</t>
        </is>
      </c>
      <c r="C12" s="5" t="inlineStr">
        <is>
          <t>Gamma Blast</t>
        </is>
      </c>
      <c r="D12" s="5" t="inlineStr">
        <is>
          <t>BUY_PE_GAMMA</t>
        </is>
      </c>
      <c r="E12" s="5" t="n">
        <v>77500</v>
      </c>
      <c r="F12" s="5" t="inlineStr">
        <is>
          <t>12MAR2026</t>
        </is>
      </c>
      <c r="G12" s="5" t="inlineStr">
        <is>
          <t>11:15:47</t>
        </is>
      </c>
      <c r="H12" s="5" t="inlineStr">
        <is>
          <t>11:20:39</t>
        </is>
      </c>
      <c r="I12" s="5" t="n">
        <v>5</v>
      </c>
      <c r="J12" s="5" t="n">
        <v>416.1</v>
      </c>
      <c r="K12" s="5" t="n">
        <v>416.1</v>
      </c>
      <c r="L12" s="5" t="n">
        <v>416.1</v>
      </c>
      <c r="M12" s="5" t="n">
        <v>3</v>
      </c>
      <c r="N12" s="5" t="n">
        <v>60</v>
      </c>
      <c r="O12" s="5" t="n">
        <v>77503.03999999999</v>
      </c>
      <c r="P12" s="5" t="n">
        <v>18.8</v>
      </c>
      <c r="Q12" s="5" t="n">
        <v>61403</v>
      </c>
      <c r="R12" s="5" t="inlineStr">
        <is>
          <t>BREAKOUT_FAIL</t>
        </is>
      </c>
      <c r="S12" s="9" t="n">
        <v>-134.97</v>
      </c>
    </row>
    <row r="13">
      <c r="A13" s="5" t="n">
        <v>12</v>
      </c>
      <c r="B13" s="5" t="inlineStr">
        <is>
          <t>BANKNIFTY</t>
        </is>
      </c>
      <c r="C13" s="5" t="inlineStr">
        <is>
          <t>CPR</t>
        </is>
      </c>
      <c r="D13" s="5" t="inlineStr">
        <is>
          <t>BUY_PE_CPR</t>
        </is>
      </c>
      <c r="E13" s="5" t="n">
        <v>56400</v>
      </c>
      <c r="F13" s="5" t="inlineStr">
        <is>
          <t>30MAR2026</t>
        </is>
      </c>
      <c r="G13" s="5" t="inlineStr">
        <is>
          <t>11:05:29</t>
        </is>
      </c>
      <c r="H13" s="5" t="inlineStr">
        <is>
          <t>12:18:21</t>
        </is>
      </c>
      <c r="I13" s="5" t="n">
        <v>73</v>
      </c>
      <c r="J13" s="5" t="n">
        <v>955.15</v>
      </c>
      <c r="K13" s="5" t="n">
        <v>1151</v>
      </c>
      <c r="L13" s="5" t="n">
        <v>1239</v>
      </c>
      <c r="M13" s="5" t="n">
        <v>1</v>
      </c>
      <c r="N13" s="5" t="n">
        <v>30</v>
      </c>
      <c r="O13" s="5" t="n">
        <v>56445.2</v>
      </c>
      <c r="P13" s="5" t="n">
        <v>59.3</v>
      </c>
      <c r="Q13" s="5" t="n">
        <v>2193</v>
      </c>
      <c r="R13" s="5" t="inlineStr">
        <is>
          <t>TRAILING_SL_HIT</t>
        </is>
      </c>
      <c r="S13" s="7" t="n">
        <v>5727.92</v>
      </c>
    </row>
    <row r="14">
      <c r="A14" s="5" t="n">
        <v>13</v>
      </c>
      <c r="B14" s="5" t="inlineStr">
        <is>
          <t>BANKNIFTY</t>
        </is>
      </c>
      <c r="C14" s="5" t="inlineStr">
        <is>
          <t>Gamma Blast</t>
        </is>
      </c>
      <c r="D14" s="5" t="inlineStr">
        <is>
          <t>BUY_PE_GAMMA</t>
        </is>
      </c>
      <c r="E14" s="5" t="n">
        <v>56700</v>
      </c>
      <c r="F14" s="5" t="inlineStr">
        <is>
          <t>30MAR2026</t>
        </is>
      </c>
      <c r="G14" s="5" t="inlineStr">
        <is>
          <t>09:30:00</t>
        </is>
      </c>
      <c r="H14" s="5" t="inlineStr">
        <is>
          <t>12:34:13</t>
        </is>
      </c>
      <c r="I14" s="5" t="n">
        <v>184</v>
      </c>
      <c r="J14" s="5" t="n">
        <v>920.95</v>
      </c>
      <c r="K14" s="5" t="n">
        <v>1261.15</v>
      </c>
      <c r="L14" s="5" t="n">
        <v>1375</v>
      </c>
      <c r="M14" s="5" t="n">
        <v>2</v>
      </c>
      <c r="N14" s="5" t="n">
        <v>60</v>
      </c>
      <c r="O14" s="5" t="n">
        <v>56683.25</v>
      </c>
      <c r="P14" s="5" t="n">
        <v>55.1</v>
      </c>
      <c r="Q14" s="5" t="n">
        <v>2651</v>
      </c>
      <c r="R14" s="5" t="inlineStr">
        <is>
          <t>TRAILING_SL_HIT</t>
        </is>
      </c>
      <c r="S14" s="7" t="n">
        <v>20204.84</v>
      </c>
    </row>
    <row r="15">
      <c r="A15" s="5" t="n">
        <v>14</v>
      </c>
      <c r="B15" s="5" t="inlineStr">
        <is>
          <t>BANKNIFTY</t>
        </is>
      </c>
      <c r="C15" s="5" t="inlineStr">
        <is>
          <t>Gamma Blast</t>
        </is>
      </c>
      <c r="D15" s="5" t="inlineStr">
        <is>
          <t>BUY_PE_GAMMA</t>
        </is>
      </c>
      <c r="E15" s="5" t="n">
        <v>56100</v>
      </c>
      <c r="F15" s="5" t="inlineStr">
        <is>
          <t>30MAR2026</t>
        </is>
      </c>
      <c r="G15" s="5" t="inlineStr">
        <is>
          <t>12:56:01</t>
        </is>
      </c>
      <c r="H15" s="5" t="inlineStr">
        <is>
          <t>13:00:48</t>
        </is>
      </c>
      <c r="I15" s="5" t="n">
        <v>5</v>
      </c>
      <c r="J15" s="5" t="n">
        <v>1053.75</v>
      </c>
      <c r="K15" s="5" t="n">
        <v>1073.85</v>
      </c>
      <c r="L15" s="5" t="n">
        <v>1073.85</v>
      </c>
      <c r="M15" s="5" t="n">
        <v>2</v>
      </c>
      <c r="N15" s="5" t="n">
        <v>60</v>
      </c>
      <c r="O15" s="5" t="n">
        <v>56103.85</v>
      </c>
      <c r="P15" s="5" t="n">
        <v>64.3</v>
      </c>
      <c r="Q15" s="5" t="n">
        <v>2316</v>
      </c>
      <c r="R15" s="5" t="inlineStr">
        <is>
          <t>BREAKOUT_FAIL</t>
        </is>
      </c>
      <c r="S15" s="7" t="n">
        <v>1007.51</v>
      </c>
    </row>
    <row r="16">
      <c r="A16" s="5" t="n">
        <v>15</v>
      </c>
      <c r="B16" s="5" t="inlineStr">
        <is>
          <t>BANKNIFTY</t>
        </is>
      </c>
      <c r="C16" s="5" t="inlineStr">
        <is>
          <t>CPR</t>
        </is>
      </c>
      <c r="D16" s="5" t="inlineStr">
        <is>
          <t>BUY_PE_CPR</t>
        </is>
      </c>
      <c r="E16" s="5" t="n">
        <v>56700</v>
      </c>
      <c r="F16" s="5" t="inlineStr">
        <is>
          <t>30MAR2026</t>
        </is>
      </c>
      <c r="G16" s="5" t="inlineStr">
        <is>
          <t>09:56:10</t>
        </is>
      </c>
      <c r="H16" s="5" t="inlineStr">
        <is>
          <t>13:27:40</t>
        </is>
      </c>
      <c r="I16" s="5" t="n">
        <v>211</v>
      </c>
      <c r="J16" s="5" t="n">
        <v>983.1</v>
      </c>
      <c r="K16" s="5" t="n">
        <v>1377.25</v>
      </c>
      <c r="L16" s="5" t="n">
        <v>1480</v>
      </c>
      <c r="M16" s="5" t="n">
        <v>1</v>
      </c>
      <c r="N16" s="5" t="n">
        <v>30</v>
      </c>
      <c r="O16" s="5" t="n">
        <v>56593.15</v>
      </c>
      <c r="P16" s="5" t="n">
        <v>56.2</v>
      </c>
      <c r="Q16" s="5" t="n">
        <v>3420</v>
      </c>
      <c r="R16" s="5" t="inlineStr">
        <is>
          <t>TRAILING_SL_HIT</t>
        </is>
      </c>
      <c r="S16" s="7" t="n">
        <v>11668.87</v>
      </c>
    </row>
    <row r="17">
      <c r="A17" s="16" t="inlineStr">
        <is>
          <t>TOTAL</t>
        </is>
      </c>
      <c r="S17" s="17">
        <f>SUM(S2:S16)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6" customWidth="1" min="4" max="4"/>
    <col width="8" customWidth="1" min="5" max="5"/>
    <col width="12" customWidth="1" min="6" max="6"/>
    <col width="10" customWidth="1" min="7" max="7"/>
    <col width="10" customWidth="1" min="8" max="8"/>
    <col width="9" customWidth="1" min="9" max="9"/>
    <col width="11" customWidth="1" min="10" max="10"/>
    <col width="11" customWidth="1" min="11" max="11"/>
    <col width="11" customWidth="1" min="12" max="12"/>
    <col width="6" customWidth="1" min="13" max="13"/>
    <col width="8" customWidth="1" min="14" max="14"/>
    <col width="10" customWidth="1" min="15" max="15"/>
    <col width="11" customWidth="1" min="16" max="16"/>
    <col width="9" customWidth="1" min="17" max="17"/>
    <col width="9" customWidth="1" min="18" max="18"/>
    <col width="20" customWidth="1" min="19" max="19"/>
    <col width="13" customWidth="1" min="20" max="20"/>
  </cols>
  <sheetData>
    <row r="1">
      <c r="A1" s="4" t="inlineStr">
        <is>
          <t>#</t>
        </is>
      </c>
      <c r="B1" s="4" t="inlineStr">
        <is>
          <t>Commodity</t>
        </is>
      </c>
      <c r="C1" s="4" t="inlineStr">
        <is>
          <t>Strategy</t>
        </is>
      </c>
      <c r="D1" s="4" t="inlineStr">
        <is>
          <t>Signal</t>
        </is>
      </c>
      <c r="E1" s="4" t="inlineStr">
        <is>
          <t>Strike</t>
        </is>
      </c>
      <c r="F1" s="4" t="inlineStr">
        <is>
          <t>Expiry</t>
        </is>
      </c>
      <c r="G1" s="4" t="inlineStr">
        <is>
          <t>Entry Time</t>
        </is>
      </c>
      <c r="H1" s="4" t="inlineStr">
        <is>
          <t>Exit Time</t>
        </is>
      </c>
      <c r="I1" s="4" t="inlineStr">
        <is>
          <t>Hold (min)</t>
        </is>
      </c>
      <c r="J1" s="4" t="inlineStr">
        <is>
          <t>Entry Prem</t>
        </is>
      </c>
      <c r="K1" s="4" t="inlineStr">
        <is>
          <t>Exit Prem</t>
        </is>
      </c>
      <c r="L1" s="4" t="inlineStr">
        <is>
          <t>Peak Prem</t>
        </is>
      </c>
      <c r="M1" s="4" t="inlineStr">
        <is>
          <t>Lots</t>
        </is>
      </c>
      <c r="N1" s="4" t="inlineStr">
        <is>
          <t>Lot Size</t>
        </is>
      </c>
      <c r="O1" s="4" t="inlineStr">
        <is>
          <t>Multiplier</t>
        </is>
      </c>
      <c r="P1" s="4" t="inlineStr">
        <is>
          <t>Entry Spot</t>
        </is>
      </c>
      <c r="Q1" s="4" t="inlineStr">
        <is>
          <t>Entry IV</t>
        </is>
      </c>
      <c r="R1" s="4" t="inlineStr">
        <is>
          <t>Entry OI</t>
        </is>
      </c>
      <c r="S1" s="4" t="inlineStr">
        <is>
          <t>Exit Reason</t>
        </is>
      </c>
      <c r="T1" s="4" t="inlineStr">
        <is>
          <t>Net PnL</t>
        </is>
      </c>
    </row>
    <row r="2">
      <c r="A2" s="5" t="n">
        <v>1</v>
      </c>
      <c r="B2" s="5" t="inlineStr">
        <is>
          <t>GOLDM</t>
        </is>
      </c>
      <c r="C2" s="5" t="inlineStr">
        <is>
          <t>CPR</t>
        </is>
      </c>
      <c r="D2" s="5" t="inlineStr">
        <is>
          <t>BUY_CE_CPR</t>
        </is>
      </c>
      <c r="E2" s="5" t="n">
        <v>162900</v>
      </c>
      <c r="F2" s="5" t="inlineStr">
        <is>
          <t>26MAR2026</t>
        </is>
      </c>
      <c r="G2" s="5" t="inlineStr">
        <is>
          <t>09:30:01</t>
        </is>
      </c>
      <c r="H2" s="5" t="inlineStr">
        <is>
          <t>09:34:56</t>
        </is>
      </c>
      <c r="I2" s="5" t="n">
        <v>5</v>
      </c>
      <c r="J2" s="5" t="n">
        <v>4379</v>
      </c>
      <c r="K2" s="5" t="n">
        <v>4379</v>
      </c>
      <c r="L2" s="5" t="n">
        <v>4379</v>
      </c>
      <c r="M2" s="5" t="n">
        <v>2</v>
      </c>
      <c r="N2" s="5" t="n">
        <v>2</v>
      </c>
      <c r="O2" s="5" t="n">
        <v>10</v>
      </c>
      <c r="P2" s="5" t="n">
        <v>162751</v>
      </c>
      <c r="Q2" s="5" t="n">
        <v>58.6</v>
      </c>
      <c r="R2" s="5" t="n">
        <v>800</v>
      </c>
      <c r="S2" s="5" t="inlineStr">
        <is>
          <t>BREAKOUT_FAIL</t>
        </is>
      </c>
      <c r="T2" s="9" t="n">
        <v>-148.7</v>
      </c>
    </row>
    <row r="3">
      <c r="A3" s="5" t="n">
        <v>2</v>
      </c>
      <c r="B3" s="5" t="inlineStr">
        <is>
          <t>GOLDM</t>
        </is>
      </c>
      <c r="C3" s="5" t="inlineStr">
        <is>
          <t>CPR</t>
        </is>
      </c>
      <c r="D3" s="5" t="inlineStr">
        <is>
          <t>BUY_CE_CPR</t>
        </is>
      </c>
      <c r="E3" s="5" t="n">
        <v>163000</v>
      </c>
      <c r="F3" s="5" t="inlineStr">
        <is>
          <t>26MAR2026</t>
        </is>
      </c>
      <c r="G3" s="5" t="inlineStr">
        <is>
          <t>09:45:03</t>
        </is>
      </c>
      <c r="H3" s="5" t="inlineStr">
        <is>
          <t>09:49:57</t>
        </is>
      </c>
      <c r="I3" s="5" t="n">
        <v>5</v>
      </c>
      <c r="J3" s="5" t="n">
        <v>4032</v>
      </c>
      <c r="K3" s="5" t="n">
        <v>4047</v>
      </c>
      <c r="L3" s="5" t="n">
        <v>4065.5</v>
      </c>
      <c r="M3" s="5" t="n">
        <v>2</v>
      </c>
      <c r="N3" s="5" t="n">
        <v>2</v>
      </c>
      <c r="O3" s="5" t="n">
        <v>10</v>
      </c>
      <c r="P3" s="5" t="n">
        <v>162880</v>
      </c>
      <c r="Q3" s="5" t="n">
        <v>53.8</v>
      </c>
      <c r="R3" s="5" t="n">
        <v>111400</v>
      </c>
      <c r="S3" s="5" t="inlineStr">
        <is>
          <t>BREAKOUT_FAIL</t>
        </is>
      </c>
      <c r="T3" s="7" t="n">
        <v>155.49</v>
      </c>
    </row>
    <row r="4">
      <c r="A4" s="5" t="n">
        <v>3</v>
      </c>
      <c r="B4" s="5" t="inlineStr">
        <is>
          <t>GOLDM</t>
        </is>
      </c>
      <c r="C4" s="5" t="inlineStr">
        <is>
          <t>CPR</t>
        </is>
      </c>
      <c r="D4" s="5" t="inlineStr">
        <is>
          <t>BUY_CE_CPR</t>
        </is>
      </c>
      <c r="E4" s="5" t="n">
        <v>162700</v>
      </c>
      <c r="F4" s="5" t="inlineStr">
        <is>
          <t>26MAR2026</t>
        </is>
      </c>
      <c r="G4" s="5" t="inlineStr">
        <is>
          <t>10:59:28</t>
        </is>
      </c>
      <c r="H4" s="5" t="inlineStr">
        <is>
          <t>11:04:27</t>
        </is>
      </c>
      <c r="I4" s="5" t="n">
        <v>5</v>
      </c>
      <c r="J4" s="5" t="n">
        <v>4284.5</v>
      </c>
      <c r="K4" s="5" t="n">
        <v>4284.5</v>
      </c>
      <c r="L4" s="5" t="n">
        <v>4284.5</v>
      </c>
      <c r="M4" s="5" t="n">
        <v>1</v>
      </c>
      <c r="N4" s="5" t="n">
        <v>1</v>
      </c>
      <c r="O4" s="5" t="n">
        <v>10</v>
      </c>
      <c r="P4" s="5" t="n">
        <v>162616</v>
      </c>
      <c r="Q4" s="5" t="n">
        <v>57</v>
      </c>
      <c r="R4" s="5" t="n">
        <v>200</v>
      </c>
      <c r="S4" s="5" t="inlineStr">
        <is>
          <t>BREAKOUT_FAIL</t>
        </is>
      </c>
      <c r="T4" s="9" t="n">
        <v>-120.96</v>
      </c>
    </row>
    <row r="5">
      <c r="A5" s="5" t="n">
        <v>4</v>
      </c>
      <c r="B5" s="5" t="inlineStr">
        <is>
          <t>GOLDM</t>
        </is>
      </c>
      <c r="C5" s="5" t="inlineStr">
        <is>
          <t>CPR</t>
        </is>
      </c>
      <c r="D5" s="5" t="inlineStr">
        <is>
          <t>BUY_CE_CPR</t>
        </is>
      </c>
      <c r="E5" s="5" t="n">
        <v>162400</v>
      </c>
      <c r="F5" s="5" t="inlineStr">
        <is>
          <t>26MAR2026</t>
        </is>
      </c>
      <c r="G5" s="5" t="inlineStr">
        <is>
          <t>11:00:57</t>
        </is>
      </c>
      <c r="H5" s="5" t="inlineStr">
        <is>
          <t>11:05:46</t>
        </is>
      </c>
      <c r="I5" s="5" t="n">
        <v>5</v>
      </c>
      <c r="J5" s="5" t="n">
        <v>5368</v>
      </c>
      <c r="K5" s="5" t="n">
        <v>5368</v>
      </c>
      <c r="L5" s="5" t="n">
        <v>5368</v>
      </c>
      <c r="M5" s="5" t="n">
        <v>1</v>
      </c>
      <c r="N5" s="5" t="n">
        <v>1</v>
      </c>
      <c r="O5" s="5" t="n">
        <v>10</v>
      </c>
      <c r="P5" s="5" t="n">
        <v>162300</v>
      </c>
      <c r="Q5" s="5" t="n">
        <v>71.59999999999999</v>
      </c>
      <c r="R5" s="5" t="n">
        <v>0</v>
      </c>
      <c r="S5" s="5" t="inlineStr">
        <is>
          <t>BREAKOUT_FAIL</t>
        </is>
      </c>
      <c r="T5" s="9" t="n">
        <v>-127.68</v>
      </c>
    </row>
    <row r="6">
      <c r="A6" s="5" t="n">
        <v>5</v>
      </c>
      <c r="B6" s="5" t="inlineStr">
        <is>
          <t>GOLDM</t>
        </is>
      </c>
      <c r="C6" s="5" t="inlineStr">
        <is>
          <t>CPR</t>
        </is>
      </c>
      <c r="D6" s="5" t="inlineStr">
        <is>
          <t>BUY_CE_CPR</t>
        </is>
      </c>
      <c r="E6" s="5" t="n">
        <v>163000</v>
      </c>
      <c r="F6" s="5" t="inlineStr">
        <is>
          <t>26MAR2026</t>
        </is>
      </c>
      <c r="G6" s="5" t="inlineStr">
        <is>
          <t>10:00:04</t>
        </is>
      </c>
      <c r="H6" s="5" t="inlineStr">
        <is>
          <t>14:00:05</t>
        </is>
      </c>
      <c r="I6" s="5" t="n">
        <v>240</v>
      </c>
      <c r="J6" s="5" t="n">
        <v>4040</v>
      </c>
      <c r="K6" s="5" t="n">
        <v>3690</v>
      </c>
      <c r="L6" s="5" t="n">
        <v>4074.5</v>
      </c>
      <c r="M6" s="5" t="n">
        <v>2</v>
      </c>
      <c r="N6" s="5" t="n">
        <v>2</v>
      </c>
      <c r="O6" s="5" t="n">
        <v>10</v>
      </c>
      <c r="P6" s="5" t="n">
        <v>162900</v>
      </c>
      <c r="Q6" s="5" t="n">
        <v>53.8</v>
      </c>
      <c r="R6" s="5" t="n">
        <v>120500</v>
      </c>
      <c r="S6" s="5" t="inlineStr">
        <is>
          <t>TIME_EXIT</t>
        </is>
      </c>
      <c r="T6" s="9" t="n">
        <v>-7141.98</v>
      </c>
    </row>
    <row r="7">
      <c r="A7" s="5" t="n">
        <v>6</v>
      </c>
      <c r="B7" s="5" t="inlineStr">
        <is>
          <t>CRUDEOILM</t>
        </is>
      </c>
      <c r="C7" s="5" t="inlineStr">
        <is>
          <t>CPR</t>
        </is>
      </c>
      <c r="D7" s="5" t="inlineStr">
        <is>
          <t>BUY_CE_CPR</t>
        </is>
      </c>
      <c r="E7" s="5" t="n">
        <v>7650</v>
      </c>
      <c r="F7" s="5" t="inlineStr">
        <is>
          <t>17MAR2026</t>
        </is>
      </c>
      <c r="G7" s="5" t="inlineStr">
        <is>
          <t>14:55:27</t>
        </is>
      </c>
      <c r="H7" s="5" t="inlineStr">
        <is>
          <t>15:34:03</t>
        </is>
      </c>
      <c r="I7" s="5" t="n">
        <v>39</v>
      </c>
      <c r="J7" s="5" t="n">
        <v>947.55</v>
      </c>
      <c r="K7" s="5" t="n">
        <v>947.3</v>
      </c>
      <c r="L7" s="5" t="n">
        <v>1037.35</v>
      </c>
      <c r="M7" s="5" t="n">
        <v>5</v>
      </c>
      <c r="N7" s="5" t="n">
        <v>5</v>
      </c>
      <c r="O7" s="5" t="n">
        <v>10</v>
      </c>
      <c r="P7" s="5" t="n">
        <v>7593</v>
      </c>
      <c r="Q7" s="5" t="n">
        <v>275.6</v>
      </c>
      <c r="R7" s="5" t="n">
        <v>6610</v>
      </c>
      <c r="S7" s="5" t="inlineStr">
        <is>
          <t>DIRECTION_FLIP</t>
        </is>
      </c>
      <c r="T7" s="9" t="n">
        <v>-136.27</v>
      </c>
    </row>
    <row r="8">
      <c r="A8" s="5" t="n">
        <v>7</v>
      </c>
      <c r="B8" s="5" t="inlineStr">
        <is>
          <t>CRUDEOILM</t>
        </is>
      </c>
      <c r="C8" s="5" t="inlineStr">
        <is>
          <t>Gamma Blast</t>
        </is>
      </c>
      <c r="D8" s="5" t="inlineStr">
        <is>
          <t>BUY_PE_GAMMA</t>
        </is>
      </c>
      <c r="E8" s="5" t="n">
        <v>7250</v>
      </c>
      <c r="F8" s="5" t="inlineStr">
        <is>
          <t>17MAR2026</t>
        </is>
      </c>
      <c r="G8" s="5" t="inlineStr">
        <is>
          <t>19:31:04</t>
        </is>
      </c>
      <c r="H8" s="5" t="inlineStr">
        <is>
          <t>19:34:14</t>
        </is>
      </c>
      <c r="I8" s="5" t="n">
        <v>3</v>
      </c>
      <c r="J8" s="5" t="n">
        <v>473.1</v>
      </c>
      <c r="K8" s="5" t="n">
        <v>387.85</v>
      </c>
      <c r="L8" s="5" t="n">
        <v>473.1</v>
      </c>
      <c r="M8" s="5" t="n">
        <v>5</v>
      </c>
      <c r="N8" s="5" t="n">
        <v>5</v>
      </c>
      <c r="O8" s="5" t="n">
        <v>10</v>
      </c>
      <c r="P8" s="5" t="n">
        <v>7201</v>
      </c>
      <c r="Q8" s="5" t="n">
        <v>133.1</v>
      </c>
      <c r="R8" s="5" t="n">
        <v>9290</v>
      </c>
      <c r="S8" s="5" t="inlineStr">
        <is>
          <t>BREAKOUT_FAIL_REV</t>
        </is>
      </c>
      <c r="T8" s="9" t="n">
        <v>-4370.03</v>
      </c>
    </row>
    <row r="9">
      <c r="A9" s="16" t="inlineStr">
        <is>
          <t>TOTAL</t>
        </is>
      </c>
      <c r="T9" s="17">
        <f>SUM(T2:T8)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8" customWidth="1" min="3" max="3"/>
    <col width="16" customWidth="1" min="4" max="4"/>
    <col width="7" customWidth="1" min="5" max="5"/>
    <col width="13" customWidth="1" min="6" max="6"/>
    <col width="10" customWidth="1" min="7" max="7"/>
    <col width="10" customWidth="1" min="8" max="8"/>
    <col width="9" customWidth="1" min="9" max="9"/>
    <col width="11" customWidth="1" min="10" max="10"/>
    <col width="10" customWidth="1" min="11" max="11"/>
    <col width="10" customWidth="1" min="12" max="12"/>
    <col width="8" customWidth="1" min="13" max="13"/>
    <col width="11" customWidth="1" min="14" max="14"/>
    <col width="9" customWidth="1" min="15" max="15"/>
    <col width="9" customWidth="1" min="16" max="16"/>
    <col width="20" customWidth="1" min="17" max="17"/>
    <col width="10" customWidth="1" min="18" max="18"/>
    <col width="8" customWidth="1" min="19" max="19"/>
    <col width="13" customWidth="1" min="20" max="20"/>
    <col width="14" customWidth="1" min="21" max="21"/>
  </cols>
  <sheetData>
    <row r="1">
      <c r="A1" s="4" t="inlineStr">
        <is>
          <t>#</t>
        </is>
      </c>
      <c r="B1" s="4" t="inlineStr">
        <is>
          <t>Symbol</t>
        </is>
      </c>
      <c r="C1" s="4" t="inlineStr">
        <is>
          <t>Strategy</t>
        </is>
      </c>
      <c r="D1" s="4" t="inlineStr">
        <is>
          <t>Signal</t>
        </is>
      </c>
      <c r="E1" s="4" t="inlineStr">
        <is>
          <t>Strike</t>
        </is>
      </c>
      <c r="F1" s="4" t="inlineStr">
        <is>
          <t>Expiry (Calc)</t>
        </is>
      </c>
      <c r="G1" s="4" t="inlineStr">
        <is>
          <t>Entry Time</t>
        </is>
      </c>
      <c r="H1" s="4" t="inlineStr">
        <is>
          <t>Exit Time</t>
        </is>
      </c>
      <c r="I1" s="4" t="inlineStr">
        <is>
          <t>Hold (min)</t>
        </is>
      </c>
      <c r="J1" s="4" t="inlineStr">
        <is>
          <t>Entry Prem</t>
        </is>
      </c>
      <c r="K1" s="4" t="inlineStr">
        <is>
          <t>Exit Prem</t>
        </is>
      </c>
      <c r="L1" s="4" t="inlineStr">
        <is>
          <t>Peak Prem</t>
        </is>
      </c>
      <c r="M1" s="4" t="inlineStr">
        <is>
          <t>Lot Size</t>
        </is>
      </c>
      <c r="N1" s="4" t="inlineStr">
        <is>
          <t>Entry Spot</t>
        </is>
      </c>
      <c r="O1" s="4" t="inlineStr">
        <is>
          <t>Entry IV</t>
        </is>
      </c>
      <c r="P1" s="4" t="inlineStr">
        <is>
          <t>Entry OI</t>
        </is>
      </c>
      <c r="Q1" s="4" t="inlineStr">
        <is>
          <t>Exit Reason</t>
        </is>
      </c>
      <c r="R1" s="4" t="inlineStr">
        <is>
          <t>Raw PnL</t>
        </is>
      </c>
      <c r="S1" s="4" t="inlineStr">
        <is>
          <t>Costs</t>
        </is>
      </c>
      <c r="T1" s="4" t="inlineStr">
        <is>
          <t>Net PnL</t>
        </is>
      </c>
      <c r="U1" s="4" t="inlineStr">
        <is>
          <t>Data Source</t>
        </is>
      </c>
    </row>
    <row r="2">
      <c r="A2" s="5" t="n">
        <v>1</v>
      </c>
      <c r="B2" s="5" t="inlineStr">
        <is>
          <t>SUNPHARMA</t>
        </is>
      </c>
      <c r="C2" s="5" t="inlineStr">
        <is>
          <t>CPR</t>
        </is>
      </c>
      <c r="D2" s="5" t="inlineStr">
        <is>
          <t>BUY_CE_CPR</t>
        </is>
      </c>
      <c r="E2" s="5" t="n">
        <v>1830</v>
      </c>
      <c r="F2" s="5" t="inlineStr">
        <is>
          <t>26MAR (BS)</t>
        </is>
      </c>
      <c r="G2" s="5" t="inlineStr">
        <is>
          <t>09:30:20</t>
        </is>
      </c>
      <c r="H2" s="5" t="inlineStr">
        <is>
          <t>09:33:47</t>
        </is>
      </c>
      <c r="I2" s="5" t="n">
        <v>3</v>
      </c>
      <c r="J2" s="5" t="n">
        <v>37.92</v>
      </c>
      <c r="K2" s="5" t="n">
        <v>28.75</v>
      </c>
      <c r="L2" s="5" t="n">
        <v>37.92</v>
      </c>
      <c r="M2" s="5" t="n">
        <v>350</v>
      </c>
      <c r="N2" s="5" t="n">
        <v>1827.1</v>
      </c>
      <c r="O2" s="5" t="n">
        <v>25</v>
      </c>
      <c r="P2" s="18" t="n">
        <v>0</v>
      </c>
      <c r="Q2" s="5" t="inlineStr">
        <is>
          <t>BREAKOUT_FAIL_REV</t>
        </is>
      </c>
      <c r="R2" s="5" t="n">
        <v>-3209.5</v>
      </c>
      <c r="S2" s="5" t="n">
        <v>46.29</v>
      </c>
      <c r="T2" s="9" t="n">
        <v>-3255.79</v>
      </c>
      <c r="U2" s="19" t="inlineStr">
        <is>
          <t>Black-Scholes</t>
        </is>
      </c>
    </row>
    <row r="3">
      <c r="A3" s="5" t="n">
        <v>2</v>
      </c>
      <c r="B3" s="5" t="inlineStr">
        <is>
          <t>SUNPHARMA</t>
        </is>
      </c>
      <c r="C3" s="5" t="inlineStr">
        <is>
          <t>CPR</t>
        </is>
      </c>
      <c r="D3" s="5" t="inlineStr">
        <is>
          <t>BUY_CE_CPR</t>
        </is>
      </c>
      <c r="E3" s="5" t="n">
        <v>1830</v>
      </c>
      <c r="F3" s="5" t="inlineStr">
        <is>
          <t>26MAR (BS)</t>
        </is>
      </c>
      <c r="G3" s="5" t="inlineStr">
        <is>
          <t>09:34:20</t>
        </is>
      </c>
      <c r="H3" s="5" t="inlineStr">
        <is>
          <t>09:37:28</t>
        </is>
      </c>
      <c r="I3" s="5" t="n">
        <v>3</v>
      </c>
      <c r="J3" s="5" t="n">
        <v>39.87</v>
      </c>
      <c r="K3" s="5" t="n">
        <v>29.35</v>
      </c>
      <c r="L3" s="5" t="n">
        <v>39.87</v>
      </c>
      <c r="M3" s="5" t="n">
        <v>350</v>
      </c>
      <c r="N3" s="5" t="n">
        <v>1830.8</v>
      </c>
      <c r="O3" s="5" t="n">
        <v>25</v>
      </c>
      <c r="P3" s="18" t="n">
        <v>0</v>
      </c>
      <c r="Q3" s="5" t="inlineStr">
        <is>
          <t>BREAKOUT_FAIL_REV</t>
        </is>
      </c>
      <c r="R3" s="5" t="n">
        <v>-3682</v>
      </c>
      <c r="S3" s="5" t="n">
        <v>46.42</v>
      </c>
      <c r="T3" s="9" t="n">
        <v>-3728.42</v>
      </c>
      <c r="U3" s="19" t="inlineStr">
        <is>
          <t>Black-Scholes</t>
        </is>
      </c>
    </row>
    <row r="4">
      <c r="A4" s="5" t="n">
        <v>3</v>
      </c>
      <c r="B4" s="5" t="inlineStr">
        <is>
          <t>SUNPHARMA</t>
        </is>
      </c>
      <c r="C4" s="5" t="inlineStr">
        <is>
          <t>CPR</t>
        </is>
      </c>
      <c r="D4" s="5" t="inlineStr">
        <is>
          <t>BUY_CE_CPR</t>
        </is>
      </c>
      <c r="E4" s="5" t="n">
        <v>1830</v>
      </c>
      <c r="F4" s="5" t="inlineStr">
        <is>
          <t>26MAR (BS)</t>
        </is>
      </c>
      <c r="G4" s="5" t="inlineStr">
        <is>
          <t>09:47:53</t>
        </is>
      </c>
      <c r="H4" s="5" t="inlineStr">
        <is>
          <t>09:50:54</t>
        </is>
      </c>
      <c r="I4" s="5" t="n">
        <v>3</v>
      </c>
      <c r="J4" s="5" t="n">
        <v>37.14</v>
      </c>
      <c r="K4" s="5" t="n">
        <v>27</v>
      </c>
      <c r="L4" s="5" t="n">
        <v>37.14</v>
      </c>
      <c r="M4" s="5" t="n">
        <v>350</v>
      </c>
      <c r="N4" s="5" t="n">
        <v>1825.6</v>
      </c>
      <c r="O4" s="5" t="n">
        <v>25</v>
      </c>
      <c r="P4" s="18" t="n">
        <v>0</v>
      </c>
      <c r="Q4" s="5" t="inlineStr">
        <is>
          <t>BREAKOUT_FAIL_REV</t>
        </is>
      </c>
      <c r="R4" s="5" t="n">
        <v>-3549</v>
      </c>
      <c r="S4" s="5" t="n">
        <v>45.91</v>
      </c>
      <c r="T4" s="9" t="n">
        <v>-3594.91</v>
      </c>
      <c r="U4" s="19" t="inlineStr">
        <is>
          <t>Black-Scholes</t>
        </is>
      </c>
    </row>
    <row r="5">
      <c r="A5" s="5" t="n">
        <v>4</v>
      </c>
      <c r="B5" s="5" t="inlineStr">
        <is>
          <t>SUNPHARMA</t>
        </is>
      </c>
      <c r="C5" s="5" t="inlineStr">
        <is>
          <t>CPR</t>
        </is>
      </c>
      <c r="D5" s="5" t="inlineStr">
        <is>
          <t>BUY_CE_CPR</t>
        </is>
      </c>
      <c r="E5" s="5" t="n">
        <v>1820</v>
      </c>
      <c r="F5" s="5" t="inlineStr">
        <is>
          <t>26MAR (BS)</t>
        </is>
      </c>
      <c r="G5" s="5" t="inlineStr">
        <is>
          <t>10:01:16</t>
        </is>
      </c>
      <c r="H5" s="5" t="inlineStr">
        <is>
          <t>10:04:17</t>
        </is>
      </c>
      <c r="I5" s="5" t="n">
        <v>3</v>
      </c>
      <c r="J5" s="5" t="n">
        <v>41.38</v>
      </c>
      <c r="K5" s="5" t="n">
        <v>31.3</v>
      </c>
      <c r="L5" s="5" t="n">
        <v>41.38</v>
      </c>
      <c r="M5" s="5" t="n">
        <v>350</v>
      </c>
      <c r="N5" s="5" t="n">
        <v>1824</v>
      </c>
      <c r="O5" s="5" t="n">
        <v>25</v>
      </c>
      <c r="P5" s="18" t="n">
        <v>0</v>
      </c>
      <c r="Q5" s="5" t="inlineStr">
        <is>
          <t>BREAKOUT_FAIL_REV</t>
        </is>
      </c>
      <c r="R5" s="5" t="n">
        <v>-3528</v>
      </c>
      <c r="S5" s="5" t="n">
        <v>46.85</v>
      </c>
      <c r="T5" s="9" t="n">
        <v>-3574.85</v>
      </c>
      <c r="U5" s="19" t="inlineStr">
        <is>
          <t>Black-Scholes</t>
        </is>
      </c>
    </row>
    <row r="6">
      <c r="A6" s="5" t="n">
        <v>5</v>
      </c>
      <c r="B6" s="5" t="inlineStr">
        <is>
          <t>SUNPHARMA</t>
        </is>
      </c>
      <c r="C6" s="5" t="inlineStr">
        <is>
          <t>CPR</t>
        </is>
      </c>
      <c r="D6" s="5" t="inlineStr">
        <is>
          <t>BUY_CE_CPR</t>
        </is>
      </c>
      <c r="E6" s="5" t="n">
        <v>1820</v>
      </c>
      <c r="F6" s="5" t="inlineStr">
        <is>
          <t>26MAR (BS)</t>
        </is>
      </c>
      <c r="G6" s="5" t="inlineStr">
        <is>
          <t>10:14:42</t>
        </is>
      </c>
      <c r="H6" s="5" t="inlineStr">
        <is>
          <t>10:17:42</t>
        </is>
      </c>
      <c r="I6" s="5" t="n">
        <v>3</v>
      </c>
      <c r="J6" s="5" t="n">
        <v>41.71</v>
      </c>
      <c r="K6" s="5" t="n">
        <v>32.95</v>
      </c>
      <c r="L6" s="5" t="n">
        <v>41.71</v>
      </c>
      <c r="M6" s="5" t="n">
        <v>350</v>
      </c>
      <c r="N6" s="5" t="n">
        <v>1824.6</v>
      </c>
      <c r="O6" s="5" t="n">
        <v>25</v>
      </c>
      <c r="P6" s="18" t="n">
        <v>0</v>
      </c>
      <c r="Q6" s="5" t="inlineStr">
        <is>
          <t>BREAKOUT_FAIL_REV</t>
        </is>
      </c>
      <c r="R6" s="5" t="n">
        <v>-3066</v>
      </c>
      <c r="S6" s="5" t="n">
        <v>47.21</v>
      </c>
      <c r="T6" s="9" t="n">
        <v>-3113.21</v>
      </c>
      <c r="U6" s="19" t="inlineStr">
        <is>
          <t>Black-Scholes</t>
        </is>
      </c>
    </row>
    <row r="7">
      <c r="A7" s="5" t="n">
        <v>6</v>
      </c>
      <c r="B7" s="5" t="inlineStr">
        <is>
          <t>SUNPHARMA</t>
        </is>
      </c>
      <c r="C7" s="5" t="inlineStr">
        <is>
          <t>CPR</t>
        </is>
      </c>
      <c r="D7" s="5" t="inlineStr">
        <is>
          <t>BUY_CE_CPR</t>
        </is>
      </c>
      <c r="E7" s="5" t="n">
        <v>1830</v>
      </c>
      <c r="F7" s="5" t="inlineStr">
        <is>
          <t>26MAR (BS)</t>
        </is>
      </c>
      <c r="G7" s="5" t="inlineStr">
        <is>
          <t>10:27:04</t>
        </is>
      </c>
      <c r="H7" s="5" t="inlineStr">
        <is>
          <t>10:31:04</t>
        </is>
      </c>
      <c r="I7" s="5" t="n">
        <v>4</v>
      </c>
      <c r="J7" s="5" t="n">
        <v>40.51</v>
      </c>
      <c r="K7" s="5" t="n">
        <v>32.3</v>
      </c>
      <c r="L7" s="5" t="n">
        <v>40.51</v>
      </c>
      <c r="M7" s="5" t="n">
        <v>350</v>
      </c>
      <c r="N7" s="5" t="n">
        <v>1832</v>
      </c>
      <c r="O7" s="5" t="n">
        <v>25</v>
      </c>
      <c r="P7" s="18" t="n">
        <v>0</v>
      </c>
      <c r="Q7" s="5" t="inlineStr">
        <is>
          <t>BREAKOUT_FAIL_REV</t>
        </is>
      </c>
      <c r="R7" s="5" t="n">
        <v>-2873.5</v>
      </c>
      <c r="S7" s="5" t="n">
        <v>47.07</v>
      </c>
      <c r="T7" s="9" t="n">
        <v>-2920.57</v>
      </c>
      <c r="U7" s="19" t="inlineStr">
        <is>
          <t>Black-Scholes</t>
        </is>
      </c>
    </row>
    <row r="8">
      <c r="A8" s="5" t="n">
        <v>7</v>
      </c>
      <c r="B8" s="5" t="inlineStr">
        <is>
          <t>SBIN</t>
        </is>
      </c>
      <c r="C8" s="5" t="inlineStr">
        <is>
          <t>CPR</t>
        </is>
      </c>
      <c r="D8" s="5" t="inlineStr">
        <is>
          <t>BUY_PE_CPR</t>
        </is>
      </c>
      <c r="E8" s="5" t="n">
        <v>1110</v>
      </c>
      <c r="F8" s="5" t="inlineStr">
        <is>
          <t>26MAR (BS)</t>
        </is>
      </c>
      <c r="G8" s="5" t="inlineStr">
        <is>
          <t>09:30:18</t>
        </is>
      </c>
      <c r="H8" s="5" t="inlineStr">
        <is>
          <t>10:31:36</t>
        </is>
      </c>
      <c r="I8" s="5" t="n">
        <v>61</v>
      </c>
      <c r="J8" s="5" t="n">
        <v>20.77</v>
      </c>
      <c r="K8" s="5" t="n">
        <v>25.9</v>
      </c>
      <c r="L8" s="5" t="n">
        <v>27.15</v>
      </c>
      <c r="M8" s="5" t="n">
        <v>750</v>
      </c>
      <c r="N8" s="5" t="n">
        <v>1110.4</v>
      </c>
      <c r="O8" s="5" t="n">
        <v>25</v>
      </c>
      <c r="P8" s="18" t="n">
        <v>0</v>
      </c>
      <c r="Q8" s="5" t="inlineStr">
        <is>
          <t>CIRCUIT_BREAKER</t>
        </is>
      </c>
      <c r="R8" s="5" t="n">
        <v>3847.5</v>
      </c>
      <c r="S8" s="5" t="n">
        <v>52.14</v>
      </c>
      <c r="T8" s="7" t="n">
        <v>3795.36</v>
      </c>
      <c r="U8" s="19" t="inlineStr">
        <is>
          <t>Black-Scholes</t>
        </is>
      </c>
    </row>
    <row r="9">
      <c r="A9" s="5" t="n">
        <v>8</v>
      </c>
      <c r="B9" s="5" t="inlineStr">
        <is>
          <t>LAURUSLABS</t>
        </is>
      </c>
      <c r="C9" s="5" t="inlineStr">
        <is>
          <t>CPR</t>
        </is>
      </c>
      <c r="D9" s="5" t="inlineStr">
        <is>
          <t>BUY_CE_CPR</t>
        </is>
      </c>
      <c r="E9" s="5" t="n">
        <v>1040</v>
      </c>
      <c r="F9" s="5" t="inlineStr">
        <is>
          <t>26MAR (BS)</t>
        </is>
      </c>
      <c r="G9" s="5" t="inlineStr">
        <is>
          <t>09:30:21</t>
        </is>
      </c>
      <c r="H9" s="5" t="inlineStr">
        <is>
          <t>10:31:36</t>
        </is>
      </c>
      <c r="I9" s="5" t="n">
        <v>61</v>
      </c>
      <c r="J9" s="5" t="n">
        <v>24.04</v>
      </c>
      <c r="K9" s="5" t="n">
        <v>48</v>
      </c>
      <c r="L9" s="5" t="n">
        <v>50.35</v>
      </c>
      <c r="M9" s="5" t="n">
        <v>850</v>
      </c>
      <c r="N9" s="5" t="n">
        <v>1043</v>
      </c>
      <c r="O9" s="5" t="n">
        <v>25</v>
      </c>
      <c r="P9" s="18" t="n">
        <v>0</v>
      </c>
      <c r="Q9" s="5" t="inlineStr">
        <is>
          <t>CIRCUIT_BREAKER</t>
        </is>
      </c>
      <c r="R9" s="5" t="n">
        <v>20366</v>
      </c>
      <c r="S9" s="5" t="n">
        <v>65.5</v>
      </c>
      <c r="T9" s="7" t="n">
        <v>20300.5</v>
      </c>
      <c r="U9" s="19" t="inlineStr">
        <is>
          <t>Black-Scholes</t>
        </is>
      </c>
    </row>
    <row r="10">
      <c r="A10" s="5" t="n">
        <v>9</v>
      </c>
      <c r="B10" s="5" t="inlineStr">
        <is>
          <t>SUNPHARMA</t>
        </is>
      </c>
      <c r="C10" s="5" t="inlineStr">
        <is>
          <t>CPR</t>
        </is>
      </c>
      <c r="D10" s="5" t="inlineStr">
        <is>
          <t>BUY_CE_CPR</t>
        </is>
      </c>
      <c r="E10" s="5" t="n">
        <v>1830</v>
      </c>
      <c r="F10" s="5" t="inlineStr">
        <is>
          <t>26MAR (BS)</t>
        </is>
      </c>
      <c r="G10" s="5" t="inlineStr">
        <is>
          <t>10:41:47</t>
        </is>
      </c>
      <c r="H10" s="5" t="inlineStr">
        <is>
          <t>10:44:48</t>
        </is>
      </c>
      <c r="I10" s="5" t="n">
        <v>3</v>
      </c>
      <c r="J10" s="5" t="n">
        <v>41.65</v>
      </c>
      <c r="K10" s="5" t="n">
        <v>31.95</v>
      </c>
      <c r="L10" s="5" t="n">
        <v>41.65</v>
      </c>
      <c r="M10" s="5" t="n">
        <v>350</v>
      </c>
      <c r="N10" s="5" t="n">
        <v>1834.1</v>
      </c>
      <c r="O10" s="5" t="n">
        <v>25</v>
      </c>
      <c r="P10" s="18" t="n">
        <v>0</v>
      </c>
      <c r="Q10" s="5" t="inlineStr">
        <is>
          <t>BREAKOUT_FAIL_REV</t>
        </is>
      </c>
      <c r="R10" s="5" t="n">
        <v>-3395</v>
      </c>
      <c r="S10" s="5" t="n">
        <v>46.99</v>
      </c>
      <c r="T10" s="9" t="n">
        <v>-3441.99</v>
      </c>
      <c r="U10" s="19" t="inlineStr">
        <is>
          <t>Black-Scholes</t>
        </is>
      </c>
    </row>
    <row r="11">
      <c r="A11" s="5" t="n">
        <v>10</v>
      </c>
      <c r="B11" s="5" t="inlineStr">
        <is>
          <t>SBIN</t>
        </is>
      </c>
      <c r="C11" s="5" t="inlineStr">
        <is>
          <t>CPR</t>
        </is>
      </c>
      <c r="D11" s="5" t="inlineStr">
        <is>
          <t>BUY_PE_CPR</t>
        </is>
      </c>
      <c r="E11" s="5" t="n">
        <v>1105</v>
      </c>
      <c r="F11" s="5" t="inlineStr">
        <is>
          <t>26MAR (BS)</t>
        </is>
      </c>
      <c r="G11" s="5" t="inlineStr">
        <is>
          <t>10:44:51</t>
        </is>
      </c>
      <c r="H11" s="5" t="inlineStr">
        <is>
          <t>10:56:51</t>
        </is>
      </c>
      <c r="I11" s="5" t="n">
        <v>12</v>
      </c>
      <c r="J11" s="5" t="n">
        <v>19.99</v>
      </c>
      <c r="K11" s="5" t="n">
        <v>24.35</v>
      </c>
      <c r="L11" s="5" t="n">
        <v>26.55</v>
      </c>
      <c r="M11" s="5" t="n">
        <v>750</v>
      </c>
      <c r="N11" s="5" t="n">
        <v>1106.9</v>
      </c>
      <c r="O11" s="5" t="n">
        <v>25</v>
      </c>
      <c r="P11" s="18" t="n">
        <v>0</v>
      </c>
      <c r="Q11" s="5" t="inlineStr">
        <is>
          <t>TRAILING_SL_HIT</t>
        </is>
      </c>
      <c r="R11" s="5" t="n">
        <v>3270</v>
      </c>
      <c r="S11" s="5" t="n">
        <v>51.41</v>
      </c>
      <c r="T11" s="7" t="n">
        <v>3218.59</v>
      </c>
      <c r="U11" s="19" t="inlineStr">
        <is>
          <t>Black-Scholes</t>
        </is>
      </c>
    </row>
    <row r="12">
      <c r="A12" s="16" t="inlineStr">
        <is>
          <t>TOTAL</t>
        </is>
      </c>
      <c r="R12" s="17">
        <f>SUM(R2:R11)</f>
        <v/>
      </c>
      <c r="S12" s="17">
        <f>SUM(S2:S11)</f>
        <v/>
      </c>
      <c r="T12" s="17">
        <f>SUM(T2:T11)</f>
        <v/>
      </c>
    </row>
    <row r="14">
      <c r="A14" s="20" t="inlineStr">
        <is>
          <t>WARNING: ALL stock trades used Black-Scholes estimated premiums (NOT real market data)</t>
        </is>
      </c>
    </row>
    <row r="15">
      <c r="A15" s="3" t="inlineStr">
        <is>
          <t>Root cause: SUNPHARMA 26-March expiry not found in Angel instruments master -&gt; fallback BS pricing with hardcoded IV=25%</t>
        </is>
      </c>
    </row>
  </sheetData>
  <mergeCells count="2">
    <mergeCell ref="A15:U15"/>
    <mergeCell ref="A14:U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2026-03-11T14:28:28Z</dcterms:created>
  <dcterms:modified xsi:type="dcterms:W3CDTF">2026-03-11T14:28:28Z</dcterms:modified>
</cp:coreProperties>
</file>